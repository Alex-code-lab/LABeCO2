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910"/>
  <workbookPr autoCompressPictures="0"/>
  <bookViews>
    <workbookView xWindow="960" yWindow="0" windowWidth="20620" windowHeight="14220"/>
  </bookViews>
  <sheets>
    <sheet name="README" sheetId="3" r:id="rId1"/>
    <sheet name="Absolute values" sheetId="1" r:id="rId2"/>
    <sheet name="Percentages" sheetId="2" r:id="rId3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1" i="1" l="1"/>
  <c r="O21" i="1"/>
  <c r="M21" i="1"/>
  <c r="L21" i="1"/>
  <c r="J21" i="1"/>
  <c r="I21" i="1"/>
  <c r="E21" i="1"/>
  <c r="G21" i="1"/>
  <c r="C21" i="1"/>
  <c r="N21" i="2"/>
  <c r="O21" i="2"/>
  <c r="M21" i="2"/>
  <c r="L21" i="2"/>
  <c r="K12" i="2"/>
  <c r="K21" i="2"/>
  <c r="J21" i="2"/>
  <c r="I21" i="2"/>
  <c r="D12" i="2"/>
  <c r="D19" i="2"/>
  <c r="D21" i="2"/>
  <c r="E21" i="2"/>
  <c r="F12" i="2"/>
  <c r="F17" i="2"/>
  <c r="F21" i="2"/>
  <c r="G21" i="2"/>
  <c r="C21" i="2"/>
  <c r="H23" i="1"/>
  <c r="B23" i="1"/>
  <c r="D19" i="1"/>
  <c r="F12" i="1"/>
  <c r="K12" i="1"/>
  <c r="K21" i="1"/>
  <c r="L23" i="1"/>
  <c r="L24" i="1"/>
  <c r="K23" i="1"/>
  <c r="G23" i="1"/>
  <c r="I23" i="1"/>
  <c r="J23" i="1"/>
  <c r="M23" i="1"/>
  <c r="N23" i="1"/>
  <c r="O23" i="1"/>
  <c r="E23" i="1"/>
  <c r="C23" i="1"/>
  <c r="H24" i="1"/>
  <c r="F17" i="1"/>
  <c r="F21" i="1"/>
  <c r="F23" i="1"/>
  <c r="I24" i="1"/>
  <c r="N24" i="1"/>
  <c r="G24" i="1"/>
  <c r="J24" i="1"/>
  <c r="B24" i="1"/>
  <c r="E24" i="1"/>
  <c r="O24" i="1"/>
  <c r="F24" i="1"/>
  <c r="M24" i="1"/>
  <c r="C24" i="1"/>
  <c r="K24" i="1"/>
  <c r="D21" i="1"/>
  <c r="D23" i="1"/>
  <c r="D24" i="1"/>
</calcChain>
</file>

<file path=xl/comments1.xml><?xml version="1.0" encoding="utf-8"?>
<comments xmlns="http://schemas.openxmlformats.org/spreadsheetml/2006/main">
  <authors>
    <author>Marianne De-Paepe</author>
  </authors>
  <commentList>
    <comment ref="T11" authorId="0">
      <text>
        <r>
          <rPr>
            <b/>
            <sz val="9"/>
            <color indexed="81"/>
            <rFont val="Tahoma"/>
            <family val="2"/>
          </rPr>
          <t>Marianne De-Paepe:</t>
        </r>
        <r>
          <rPr>
            <sz val="9"/>
            <color indexed="81"/>
            <rFont val="Tahoma"/>
            <family val="2"/>
          </rPr>
          <t xml:space="preserve">
calculé sur la base des scopes 1&amp;2 de leurs fournisseurs, donc complètement faux</t>
        </r>
      </text>
    </comment>
  </commentList>
</comments>
</file>

<file path=xl/comments2.xml><?xml version="1.0" encoding="utf-8"?>
<comments xmlns="http://schemas.openxmlformats.org/spreadsheetml/2006/main">
  <authors>
    <author>Marianne De-Paepe</author>
  </authors>
  <commentList>
    <comment ref="T11" authorId="0">
      <text>
        <r>
          <rPr>
            <b/>
            <sz val="9"/>
            <color indexed="81"/>
            <rFont val="Tahoma"/>
            <family val="2"/>
          </rPr>
          <t>Marianne De-Paepe:</t>
        </r>
        <r>
          <rPr>
            <sz val="9"/>
            <color indexed="81"/>
            <rFont val="Tahoma"/>
            <family val="2"/>
          </rPr>
          <t xml:space="preserve">
calculé sur la base des scopes 1&amp;2 de leurs fournisseurs, donc complètement faux</t>
        </r>
      </text>
    </comment>
  </commentList>
</comments>
</file>

<file path=xl/sharedStrings.xml><?xml version="1.0" encoding="utf-8"?>
<sst xmlns="http://schemas.openxmlformats.org/spreadsheetml/2006/main" count="205" uniqueCount="79">
  <si>
    <t>Agilent</t>
  </si>
  <si>
    <t>Bio-rad</t>
  </si>
  <si>
    <t>Shimadzu</t>
  </si>
  <si>
    <t>Hamamatsu</t>
  </si>
  <si>
    <t>AbCam</t>
  </si>
  <si>
    <t>Charles River</t>
  </si>
  <si>
    <t>Ansell</t>
  </si>
  <si>
    <t>Sartorius</t>
  </si>
  <si>
    <t>Qiagen</t>
  </si>
  <si>
    <t>Eurofins</t>
  </si>
  <si>
    <t>Illumina</t>
  </si>
  <si>
    <t>Wiley</t>
  </si>
  <si>
    <t>Reporting period</t>
  </si>
  <si>
    <t>x</t>
  </si>
  <si>
    <t>?</t>
  </si>
  <si>
    <t>1.Purchased goods and services</t>
  </si>
  <si>
    <t>2.Capital goods</t>
  </si>
  <si>
    <t>3.Fuel- and energy-related activities</t>
  </si>
  <si>
    <t>4.Upstream transportation and distribution</t>
  </si>
  <si>
    <t>5.Waste generated in operations</t>
  </si>
  <si>
    <t>6.Business travel</t>
  </si>
  <si>
    <t>7.Employee commuting</t>
  </si>
  <si>
    <t>8.Upstream leased assets</t>
  </si>
  <si>
    <t>9.Other (upstream)</t>
  </si>
  <si>
    <t>10.Downstream transportation and distribution</t>
  </si>
  <si>
    <t>Revenue €</t>
  </si>
  <si>
    <t>Scope 1 emissions (t CO2e)</t>
  </si>
  <si>
    <t>Scope 3 upstream emissions (t CO2e)</t>
  </si>
  <si>
    <t>*: location-based when available</t>
  </si>
  <si>
    <t>Scope 2 emissions* (t CO2e)</t>
  </si>
  <si>
    <t>source of emission data</t>
  </si>
  <si>
    <t>carbon intensity (kg CO2e/€)</t>
  </si>
  <si>
    <t>total carbon footprint (t CO2e)</t>
  </si>
  <si>
    <r>
      <t xml:space="preserve">2019 </t>
    </r>
    <r>
      <rPr>
        <b/>
        <sz val="11"/>
        <color theme="5"/>
        <rFont val="Calibri"/>
        <family val="2"/>
      </rPr>
      <t>(2020)</t>
    </r>
  </si>
  <si>
    <t>assessed, not relevant</t>
  </si>
  <si>
    <t>Becton-Dickinson</t>
  </si>
  <si>
    <t>Thermo Fisher</t>
  </si>
  <si>
    <r>
      <t xml:space="preserve">2020 </t>
    </r>
    <r>
      <rPr>
        <b/>
        <sz val="11"/>
        <color theme="5"/>
        <rFont val="Calibri"/>
        <family val="2"/>
      </rPr>
      <t>(2021)</t>
    </r>
  </si>
  <si>
    <r>
      <rPr>
        <sz val="11"/>
        <color theme="5"/>
        <rFont val="Calibri"/>
        <family val="2"/>
      </rPr>
      <t>orange numbers</t>
    </r>
    <r>
      <rPr>
        <sz val="11"/>
        <color theme="1"/>
        <rFont val="Calibri"/>
        <family val="2"/>
        <scheme val="minor"/>
      </rPr>
      <t xml:space="preserve">: data come from another year, indicated in bracket in the header </t>
    </r>
  </si>
  <si>
    <t>- : not assessed</t>
  </si>
  <si>
    <t>-</t>
  </si>
  <si>
    <r>
      <t>2020</t>
    </r>
    <r>
      <rPr>
        <b/>
        <sz val="11"/>
        <color theme="5"/>
        <rFont val="Calibri"/>
        <family val="2"/>
      </rPr>
      <t xml:space="preserve"> (2021)</t>
    </r>
  </si>
  <si>
    <t>Scope 1 emissions (% of total upstream)</t>
  </si>
  <si>
    <t>Scope 2 emissions*(% of total upstream)</t>
  </si>
  <si>
    <t>Scope 3 upstream emissions (% of total upstream)</t>
  </si>
  <si>
    <t>Company</t>
  </si>
  <si>
    <t>Sustainability report 2022</t>
  </si>
  <si>
    <t>Annual report 2021</t>
  </si>
  <si>
    <t>Sustainability report 2020</t>
  </si>
  <si>
    <t>Citizenship Report 2021</t>
  </si>
  <si>
    <t>GRI Report 2020 &amp; 2021</t>
  </si>
  <si>
    <t>Authors</t>
  </si>
  <si>
    <t>Marianne De Paepe, Laurent Jeanneau, Jerôme Mariette, Olivier Aumont, André Estevez-Torres</t>
  </si>
  <si>
    <t>Date</t>
  </si>
  <si>
    <t xml:space="preserve">Citation </t>
  </si>
  <si>
    <r>
      <t xml:space="preserve">If you use values from this file, please cite: M. De Paepe, L. Jeanneau, J. Mariette, O. Aumont, A. Estevez-Torres,  </t>
    </r>
    <r>
      <rPr>
        <i/>
        <sz val="11"/>
        <color theme="1"/>
        <rFont val="Calibri"/>
        <family val="2"/>
        <scheme val="minor"/>
      </rPr>
      <t>Purchases dominate the carbon footprint of research laboratories,</t>
    </r>
    <r>
      <rPr>
        <sz val="11"/>
        <color theme="1"/>
        <rFont val="Calibri"/>
        <family val="2"/>
        <scheme val="minor"/>
      </rPr>
      <t xml:space="preserve"> Biorxiv 2023 (https://doi.org/10.1101/2023.04.04.535626 )</t>
    </r>
  </si>
  <si>
    <t>Description of spreadsheets</t>
  </si>
  <si>
    <t>Sources</t>
  </si>
  <si>
    <t>12 May 2023</t>
  </si>
  <si>
    <t>Corporate carbon footprints</t>
  </si>
  <si>
    <t>Absolute values</t>
  </si>
  <si>
    <t>Percentages</t>
  </si>
  <si>
    <t>https://www.cdp.net/</t>
  </si>
  <si>
    <t>Carbon Discosure Project (CDP)</t>
  </si>
  <si>
    <t xml:space="preserve">CDP </t>
  </si>
  <si>
    <t>CDP  &amp; Sustainability report</t>
  </si>
  <si>
    <t>Company reports: websites of each company</t>
  </si>
  <si>
    <t>Revenue in €</t>
  </si>
  <si>
    <t>?: emissions possibly comprised in the total (the information is lacking)</t>
  </si>
  <si>
    <t>Total upstream scope 3 carbon emissions (t CO2e)</t>
  </si>
  <si>
    <r>
      <rPr>
        <sz val="11"/>
        <color rgb="FFC00000"/>
        <rFont val="Calibri"/>
        <family val="2"/>
      </rPr>
      <t>red numbers</t>
    </r>
    <r>
      <rPr>
        <sz val="11"/>
        <color theme="1"/>
        <rFont val="Calibri"/>
        <family val="2"/>
        <scheme val="minor"/>
      </rPr>
      <t>: emissions not disclosed and therefore calculated with the following hypotheses: -Capital goods: 3% of total emissions; -Employee commuting: 1.5 tCO2e/employee</t>
    </r>
  </si>
  <si>
    <t>x: emissions comprised in the total of scope 3 (line 21) or in another category</t>
  </si>
  <si>
    <t>Emissions data per scope category</t>
  </si>
  <si>
    <t>Relative emissions per category</t>
  </si>
  <si>
    <t>Reported with the permission of CDP</t>
  </si>
  <si>
    <t>Version of the dataset</t>
  </si>
  <si>
    <t>v1.0-2023</t>
  </si>
  <si>
    <t>Name of the dataset</t>
  </si>
  <si>
    <t>PER1p5_meso_data_full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</si>
</sst>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%"/>
    <numFmt numFmtId="165" formatCode="0.000%"/>
    <numFmt numFmtId="166" formatCode="0.0000%"/>
    <numFmt numFmtId="167" formatCode="0.0000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</font>
    <font>
      <sz val="11"/>
      <color theme="5"/>
      <name val="Calibri"/>
      <family val="2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00000"/>
      <name val="Calibri"/>
      <family val="2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/>
      <top style="dotted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 style="dotted">
        <color auto="1"/>
      </top>
      <bottom style="double">
        <color auto="1"/>
      </bottom>
      <diagonal/>
    </border>
    <border>
      <left/>
      <right/>
      <top style="hair">
        <color auto="1"/>
      </top>
      <bottom style="dash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3" fillId="0" borderId="0" applyNumberFormat="0" applyFill="0" applyBorder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0" fontId="0" fillId="0" borderId="2" xfId="0" applyBorder="1"/>
    <xf numFmtId="0" fontId="2" fillId="0" borderId="2" xfId="0" applyFont="1" applyBorder="1"/>
    <xf numFmtId="0" fontId="2" fillId="0" borderId="2" xfId="0" applyFont="1" applyFill="1" applyBorder="1"/>
    <xf numFmtId="0" fontId="2" fillId="0" borderId="0" xfId="0" applyFont="1" applyBorder="1"/>
    <xf numFmtId="0" fontId="2" fillId="0" borderId="0" xfId="0" applyFont="1"/>
    <xf numFmtId="11" fontId="0" fillId="0" borderId="0" xfId="0" applyNumberFormat="1" applyBorder="1"/>
    <xf numFmtId="11" fontId="0" fillId="0" borderId="0" xfId="0" applyNumberFormat="1"/>
    <xf numFmtId="9" fontId="0" fillId="0" borderId="0" xfId="1" applyFont="1"/>
    <xf numFmtId="0" fontId="0" fillId="0" borderId="0" xfId="1" applyNumberFormat="1" applyFont="1" applyBorder="1"/>
    <xf numFmtId="11" fontId="0" fillId="2" borderId="0" xfId="0" applyNumberFormat="1" applyFill="1" applyBorder="1"/>
    <xf numFmtId="0" fontId="2" fillId="0" borderId="3" xfId="0" applyFont="1" applyFill="1" applyBorder="1"/>
    <xf numFmtId="0" fontId="2" fillId="0" borderId="3" xfId="0" applyFont="1" applyBorder="1"/>
    <xf numFmtId="0" fontId="2" fillId="0" borderId="0" xfId="0" applyFont="1" applyFill="1" applyBorder="1"/>
    <xf numFmtId="0" fontId="0" fillId="0" borderId="0" xfId="0" applyFill="1" applyBorder="1"/>
    <xf numFmtId="0" fontId="0" fillId="0" borderId="5" xfId="0" applyFill="1" applyBorder="1"/>
    <xf numFmtId="0" fontId="0" fillId="0" borderId="4" xfId="0" applyFill="1" applyBorder="1"/>
    <xf numFmtId="0" fontId="0" fillId="0" borderId="5" xfId="0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1" applyNumberFormat="1" applyFont="1" applyFill="1" applyBorder="1" applyAlignment="1">
      <alignment horizontal="right"/>
    </xf>
    <xf numFmtId="0" fontId="0" fillId="0" borderId="5" xfId="0" applyFont="1" applyFill="1" applyBorder="1" applyAlignment="1">
      <alignment horizontal="right"/>
    </xf>
    <xf numFmtId="0" fontId="4" fillId="0" borderId="0" xfId="1" applyNumberFormat="1" applyFont="1" applyFill="1" applyBorder="1" applyAlignment="1">
      <alignment horizontal="right"/>
    </xf>
    <xf numFmtId="1" fontId="0" fillId="0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1" fontId="2" fillId="0" borderId="1" xfId="0" applyNumberFormat="1" applyFont="1" applyBorder="1"/>
    <xf numFmtId="2" fontId="2" fillId="0" borderId="0" xfId="0" applyNumberFormat="1" applyFont="1" applyBorder="1"/>
    <xf numFmtId="9" fontId="0" fillId="0" borderId="0" xfId="1" applyFont="1" applyBorder="1"/>
    <xf numFmtId="164" fontId="0" fillId="0" borderId="0" xfId="1" applyNumberFormat="1" applyFont="1" applyBorder="1"/>
    <xf numFmtId="0" fontId="0" fillId="0" borderId="0" xfId="0" applyBorder="1" applyAlignment="1">
      <alignment horizontal="right"/>
    </xf>
    <xf numFmtId="0" fontId="0" fillId="0" borderId="0" xfId="1" applyNumberFormat="1" applyFont="1" applyBorder="1" applyAlignment="1">
      <alignment horizontal="right"/>
    </xf>
    <xf numFmtId="0" fontId="0" fillId="0" borderId="5" xfId="0" applyBorder="1"/>
    <xf numFmtId="1" fontId="0" fillId="0" borderId="5" xfId="0" applyNumberFormat="1" applyBorder="1"/>
    <xf numFmtId="0" fontId="2" fillId="0" borderId="6" xfId="0" applyFont="1" applyFill="1" applyBorder="1"/>
    <xf numFmtId="0" fontId="2" fillId="0" borderId="6" xfId="0" applyFont="1" applyBorder="1"/>
    <xf numFmtId="0" fontId="2" fillId="0" borderId="1" xfId="0" applyNumberFormat="1" applyFont="1" applyBorder="1"/>
    <xf numFmtId="0" fontId="2" fillId="0" borderId="0" xfId="0" applyNumberFormat="1" applyFont="1" applyBorder="1"/>
    <xf numFmtId="0" fontId="0" fillId="0" borderId="0" xfId="0" applyNumberFormat="1"/>
    <xf numFmtId="11" fontId="2" fillId="0" borderId="1" xfId="0" applyNumberFormat="1" applyFont="1" applyBorder="1"/>
    <xf numFmtId="11" fontId="2" fillId="0" borderId="0" xfId="0" applyNumberFormat="1" applyFont="1" applyBorder="1"/>
    <xf numFmtId="11" fontId="2" fillId="0" borderId="0" xfId="1" applyNumberFormat="1" applyFont="1" applyBorder="1"/>
    <xf numFmtId="9" fontId="2" fillId="0" borderId="0" xfId="1" applyFont="1"/>
    <xf numFmtId="0" fontId="2" fillId="0" borderId="2" xfId="0" applyNumberFormat="1" applyFont="1" applyFill="1" applyBorder="1" applyAlignment="1">
      <alignment vertical="center"/>
    </xf>
    <xf numFmtId="2" fontId="2" fillId="0" borderId="2" xfId="0" applyNumberFormat="1" applyFont="1" applyBorder="1"/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164" fontId="0" fillId="0" borderId="0" xfId="1" applyNumberFormat="1" applyFont="1" applyBorder="1" applyAlignment="1">
      <alignment vertical="top" wrapText="1"/>
    </xf>
    <xf numFmtId="1" fontId="3" fillId="0" borderId="5" xfId="0" applyNumberFormat="1" applyFont="1" applyFill="1" applyBorder="1"/>
    <xf numFmtId="0" fontId="3" fillId="0" borderId="5" xfId="0" applyFont="1" applyFill="1" applyBorder="1" applyAlignment="1">
      <alignment horizontal="right"/>
    </xf>
    <xf numFmtId="9" fontId="0" fillId="0" borderId="2" xfId="1" applyFont="1" applyBorder="1" applyAlignment="1">
      <alignment vertical="top" wrapText="1"/>
    </xf>
    <xf numFmtId="0" fontId="2" fillId="0" borderId="2" xfId="0" applyFont="1" applyBorder="1" applyAlignment="1">
      <alignment horizontal="right"/>
    </xf>
    <xf numFmtId="1" fontId="0" fillId="0" borderId="0" xfId="0" applyNumberFormat="1" applyAlignment="1">
      <alignment vertical="top" wrapText="1"/>
    </xf>
    <xf numFmtId="10" fontId="0" fillId="0" borderId="0" xfId="1" applyNumberFormat="1" applyFont="1" applyBorder="1"/>
    <xf numFmtId="1" fontId="3" fillId="0" borderId="5" xfId="0" applyNumberFormat="1" applyFont="1" applyFill="1" applyBorder="1" applyAlignment="1">
      <alignment horizontal="right"/>
    </xf>
    <xf numFmtId="10" fontId="0" fillId="0" borderId="0" xfId="1" applyNumberFormat="1" applyFont="1"/>
    <xf numFmtId="0" fontId="0" fillId="0" borderId="8" xfId="0" applyBorder="1"/>
    <xf numFmtId="0" fontId="0" fillId="0" borderId="9" xfId="0" applyFill="1" applyBorder="1"/>
    <xf numFmtId="164" fontId="0" fillId="0" borderId="4" xfId="1" applyNumberFormat="1" applyFont="1" applyBorder="1" applyAlignment="1">
      <alignment horizontal="right"/>
    </xf>
    <xf numFmtId="164" fontId="0" fillId="0" borderId="5" xfId="1" applyNumberFormat="1" applyFont="1" applyBorder="1" applyAlignment="1">
      <alignment horizontal="right"/>
    </xf>
    <xf numFmtId="167" fontId="0" fillId="0" borderId="5" xfId="1" applyNumberFormat="1" applyFont="1" applyBorder="1" applyAlignment="1">
      <alignment horizontal="right"/>
    </xf>
    <xf numFmtId="10" fontId="0" fillId="0" borderId="5" xfId="1" applyNumberFormat="1" applyFont="1" applyBorder="1" applyAlignment="1">
      <alignment horizontal="right"/>
    </xf>
    <xf numFmtId="166" fontId="0" fillId="0" borderId="5" xfId="1" applyNumberFormat="1" applyFont="1" applyBorder="1" applyAlignment="1">
      <alignment horizontal="right"/>
    </xf>
    <xf numFmtId="164" fontId="0" fillId="0" borderId="10" xfId="1" applyNumberFormat="1" applyFont="1" applyBorder="1" applyAlignment="1">
      <alignment horizontal="right"/>
    </xf>
    <xf numFmtId="11" fontId="0" fillId="0" borderId="2" xfId="0" applyNumberFormat="1" applyBorder="1"/>
    <xf numFmtId="11" fontId="0" fillId="2" borderId="2" xfId="0" applyNumberFormat="1" applyFill="1" applyBorder="1"/>
    <xf numFmtId="164" fontId="0" fillId="0" borderId="3" xfId="1" applyNumberFormat="1" applyFont="1" applyBorder="1" applyAlignment="1">
      <alignment horizontal="right"/>
    </xf>
    <xf numFmtId="164" fontId="0" fillId="0" borderId="6" xfId="1" applyNumberFormat="1" applyFont="1" applyBorder="1" applyAlignment="1">
      <alignment horizontal="right"/>
    </xf>
    <xf numFmtId="0" fontId="0" fillId="0" borderId="11" xfId="0" applyFill="1" applyBorder="1"/>
    <xf numFmtId="167" fontId="0" fillId="0" borderId="12" xfId="1" applyNumberFormat="1" applyFont="1" applyBorder="1" applyAlignment="1">
      <alignment horizontal="right"/>
    </xf>
    <xf numFmtId="0" fontId="0" fillId="0" borderId="13" xfId="0" applyBorder="1"/>
    <xf numFmtId="0" fontId="2" fillId="0" borderId="13" xfId="0" applyFont="1" applyFill="1" applyBorder="1"/>
    <xf numFmtId="165" fontId="0" fillId="0" borderId="12" xfId="1" applyNumberFormat="1" applyFont="1" applyBorder="1" applyAlignment="1">
      <alignment horizontal="right"/>
    </xf>
    <xf numFmtId="49" fontId="0" fillId="0" borderId="0" xfId="0" applyNumberFormat="1"/>
    <xf numFmtId="49" fontId="0" fillId="0" borderId="5" xfId="0" applyNumberFormat="1" applyFill="1" applyBorder="1" applyAlignment="1">
      <alignment horizontal="right"/>
    </xf>
    <xf numFmtId="1" fontId="0" fillId="0" borderId="5" xfId="0" applyNumberFormat="1" applyFill="1" applyBorder="1" applyAlignment="1">
      <alignment horizontal="right"/>
    </xf>
    <xf numFmtId="1" fontId="0" fillId="0" borderId="4" xfId="0" applyNumberFormat="1" applyFill="1" applyBorder="1" applyAlignment="1">
      <alignment horizontal="right"/>
    </xf>
    <xf numFmtId="0" fontId="0" fillId="0" borderId="4" xfId="0" applyFill="1" applyBorder="1" applyAlignment="1">
      <alignment horizontal="right"/>
    </xf>
    <xf numFmtId="0" fontId="7" fillId="0" borderId="0" xfId="0" applyFont="1"/>
    <xf numFmtId="164" fontId="0" fillId="0" borderId="13" xfId="1" applyNumberFormat="1" applyFont="1" applyBorder="1" applyAlignment="1">
      <alignment horizontal="right"/>
    </xf>
    <xf numFmtId="0" fontId="10" fillId="0" borderId="0" xfId="0" applyFont="1" applyBorder="1"/>
    <xf numFmtId="164" fontId="7" fillId="0" borderId="5" xfId="1" applyNumberFormat="1" applyFont="1" applyBorder="1" applyAlignment="1">
      <alignment horizontal="right"/>
    </xf>
    <xf numFmtId="1" fontId="0" fillId="0" borderId="0" xfId="0" applyNumberFormat="1" applyBorder="1"/>
    <xf numFmtId="1" fontId="0" fillId="0" borderId="0" xfId="0" applyNumberFormat="1" applyFill="1" applyBorder="1" applyAlignment="1">
      <alignment horizontal="right"/>
    </xf>
    <xf numFmtId="1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1" fontId="3" fillId="0" borderId="0" xfId="0" applyNumberFormat="1" applyFont="1" applyFill="1" applyBorder="1"/>
    <xf numFmtId="49" fontId="0" fillId="0" borderId="0" xfId="0" applyNumberFormat="1" applyFill="1" applyBorder="1" applyAlignment="1">
      <alignment horizontal="right"/>
    </xf>
    <xf numFmtId="0" fontId="7" fillId="0" borderId="0" xfId="0" applyFont="1" applyBorder="1"/>
    <xf numFmtId="0" fontId="0" fillId="0" borderId="0" xfId="0" applyFont="1" applyFill="1" applyBorder="1" applyAlignment="1">
      <alignment horizontal="right"/>
    </xf>
    <xf numFmtId="0" fontId="7" fillId="0" borderId="0" xfId="0" applyFont="1" applyFill="1" applyBorder="1"/>
    <xf numFmtId="0" fontId="2" fillId="0" borderId="2" xfId="0" applyFont="1" applyBorder="1" applyAlignment="1">
      <alignment horizontal="center"/>
    </xf>
    <xf numFmtId="49" fontId="1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13" fillId="0" borderId="0" xfId="2" applyNumberFormat="1" applyFont="1"/>
    <xf numFmtId="0" fontId="13" fillId="0" borderId="0" xfId="2" applyFont="1"/>
    <xf numFmtId="0" fontId="2" fillId="0" borderId="2" xfId="0" applyFont="1" applyFill="1" applyBorder="1" applyAlignment="1">
      <alignment horizontal="right"/>
    </xf>
    <xf numFmtId="0" fontId="0" fillId="0" borderId="10" xfId="0" applyFill="1" applyBorder="1"/>
    <xf numFmtId="0" fontId="0" fillId="0" borderId="10" xfId="0" applyFill="1" applyBorder="1" applyAlignment="1">
      <alignment horizontal="right"/>
    </xf>
    <xf numFmtId="0" fontId="0" fillId="0" borderId="8" xfId="0" applyFill="1" applyBorder="1"/>
    <xf numFmtId="0" fontId="0" fillId="0" borderId="8" xfId="0" applyFill="1" applyBorder="1" applyAlignment="1">
      <alignment horizontal="right"/>
    </xf>
    <xf numFmtId="0" fontId="7" fillId="0" borderId="8" xfId="0" applyFont="1" applyFill="1" applyBorder="1"/>
    <xf numFmtId="49" fontId="0" fillId="0" borderId="8" xfId="0" applyNumberFormat="1" applyFill="1" applyBorder="1" applyAlignment="1">
      <alignment horizontal="right"/>
    </xf>
    <xf numFmtId="1" fontId="0" fillId="0" borderId="10" xfId="0" applyNumberFormat="1" applyBorder="1"/>
    <xf numFmtId="0" fontId="0" fillId="0" borderId="10" xfId="0" applyBorder="1" applyAlignment="1">
      <alignment horizontal="right"/>
    </xf>
    <xf numFmtId="1" fontId="0" fillId="0" borderId="10" xfId="0" applyNumberFormat="1" applyFill="1" applyBorder="1"/>
    <xf numFmtId="0" fontId="0" fillId="0" borderId="10" xfId="0" applyBorder="1"/>
    <xf numFmtId="0" fontId="0" fillId="0" borderId="14" xfId="0" applyFill="1" applyBorder="1"/>
    <xf numFmtId="0" fontId="2" fillId="0" borderId="1" xfId="0" applyFont="1" applyBorder="1" applyAlignment="1">
      <alignment horizontal="center" wrapText="1"/>
    </xf>
    <xf numFmtId="0" fontId="0" fillId="0" borderId="14" xfId="0" applyFill="1" applyBorder="1" applyAlignment="1">
      <alignment horizontal="right"/>
    </xf>
    <xf numFmtId="0" fontId="12" fillId="0" borderId="14" xfId="0" applyFont="1" applyFill="1" applyBorder="1" applyAlignment="1">
      <alignment horizontal="left"/>
    </xf>
    <xf numFmtId="0" fontId="12" fillId="0" borderId="7" xfId="0" applyFont="1" applyFill="1" applyBorder="1" applyAlignment="1">
      <alignment horizontal="left"/>
    </xf>
    <xf numFmtId="164" fontId="0" fillId="0" borderId="7" xfId="0" applyNumberFormat="1" applyFill="1" applyBorder="1" applyAlignment="1">
      <alignment horizontal="right"/>
    </xf>
    <xf numFmtId="164" fontId="0" fillId="0" borderId="7" xfId="0" applyNumberFormat="1" applyFill="1" applyBorder="1"/>
    <xf numFmtId="0" fontId="0" fillId="0" borderId="15" xfId="0" applyFill="1" applyBorder="1"/>
    <xf numFmtId="164" fontId="0" fillId="0" borderId="15" xfId="1" applyNumberFormat="1" applyFont="1" applyBorder="1" applyAlignment="1">
      <alignment horizontal="right"/>
    </xf>
    <xf numFmtId="0" fontId="0" fillId="0" borderId="15" xfId="0" applyFill="1" applyBorder="1" applyAlignment="1">
      <alignment horizontal="right"/>
    </xf>
    <xf numFmtId="164" fontId="7" fillId="0" borderId="15" xfId="1" applyNumberFormat="1" applyFont="1" applyBorder="1" applyAlignment="1">
      <alignment horizontal="right"/>
    </xf>
    <xf numFmtId="49" fontId="0" fillId="0" borderId="15" xfId="0" applyNumberFormat="1" applyFill="1" applyBorder="1" applyAlignment="1">
      <alignment horizontal="right"/>
    </xf>
    <xf numFmtId="9" fontId="0" fillId="2" borderId="0" xfId="1" applyFont="1" applyFill="1" applyBorder="1"/>
    <xf numFmtId="0" fontId="0" fillId="2" borderId="0" xfId="0" applyFill="1" applyBorder="1"/>
    <xf numFmtId="0" fontId="0" fillId="2" borderId="16" xfId="0" applyFill="1" applyBorder="1"/>
    <xf numFmtId="9" fontId="0" fillId="2" borderId="17" xfId="1" applyFont="1" applyFill="1" applyBorder="1"/>
    <xf numFmtId="10" fontId="0" fillId="2" borderId="17" xfId="1" applyNumberFormat="1" applyFont="1" applyFill="1" applyBorder="1"/>
    <xf numFmtId="10" fontId="0" fillId="2" borderId="18" xfId="1" applyNumberFormat="1" applyFont="1" applyFill="1" applyBorder="1"/>
    <xf numFmtId="49" fontId="0" fillId="2" borderId="19" xfId="0" applyNumberFormat="1" applyFill="1" applyBorder="1"/>
    <xf numFmtId="9" fontId="0" fillId="2" borderId="20" xfId="1" applyFont="1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1" xfId="0" applyFill="1" applyBorder="1"/>
    <xf numFmtId="0" fontId="0" fillId="2" borderId="22" xfId="0" applyFill="1" applyBorder="1"/>
    <xf numFmtId="164" fontId="3" fillId="0" borderId="5" xfId="1" applyNumberFormat="1" applyFont="1" applyBorder="1" applyAlignment="1">
      <alignment horizontal="right"/>
    </xf>
    <xf numFmtId="1" fontId="0" fillId="2" borderId="0" xfId="1" applyNumberFormat="1" applyFont="1" applyFill="1" applyBorder="1"/>
  </cellXfs>
  <cellStyles count="6">
    <cellStyle name="Followed Hyperlink" xfId="3" builtinId="9" hidden="1"/>
    <cellStyle name="Followed Hyperlink" xfId="4" builtinId="9" hidden="1"/>
    <cellStyle name="Followed Hyperlink" xfId="5" builtinId="9" hidden="1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B7" sqref="B7"/>
    </sheetView>
  </sheetViews>
  <sheetFormatPr baseColWidth="10" defaultColWidth="10.83203125" defaultRowHeight="14" x14ac:dyDescent="0"/>
  <cols>
    <col min="1" max="1" width="35.83203125" style="101" bestFit="1" customWidth="1"/>
    <col min="2" max="16384" width="10.83203125" style="80"/>
  </cols>
  <sheetData>
    <row r="1" spans="1:2" ht="18">
      <c r="A1" s="99" t="s">
        <v>59</v>
      </c>
    </row>
    <row r="2" spans="1:2">
      <c r="A2" s="100"/>
    </row>
    <row r="3" spans="1:2">
      <c r="A3" s="100" t="s">
        <v>51</v>
      </c>
      <c r="B3" s="80" t="s">
        <v>52</v>
      </c>
    </row>
    <row r="4" spans="1:2">
      <c r="A4" s="100" t="s">
        <v>53</v>
      </c>
      <c r="B4" s="80" t="s">
        <v>58</v>
      </c>
    </row>
    <row r="5" spans="1:2">
      <c r="A5" s="100" t="s">
        <v>75</v>
      </c>
      <c r="B5" s="80" t="s">
        <v>76</v>
      </c>
    </row>
    <row r="6" spans="1:2">
      <c r="A6" s="100" t="s">
        <v>77</v>
      </c>
      <c r="B6" s="80" t="s">
        <v>78</v>
      </c>
    </row>
    <row r="7" spans="1:2">
      <c r="A7" s="100"/>
    </row>
    <row r="8" spans="1:2">
      <c r="A8" s="100" t="s">
        <v>54</v>
      </c>
    </row>
    <row r="9" spans="1:2">
      <c r="A9" s="101" t="s">
        <v>55</v>
      </c>
    </row>
    <row r="11" spans="1:2">
      <c r="A11" s="100" t="s">
        <v>56</v>
      </c>
    </row>
    <row r="12" spans="1:2">
      <c r="A12" s="101" t="s">
        <v>60</v>
      </c>
      <c r="B12" s="80" t="s">
        <v>72</v>
      </c>
    </row>
    <row r="13" spans="1:2">
      <c r="A13" s="101" t="s">
        <v>61</v>
      </c>
      <c r="B13" s="80" t="s">
        <v>73</v>
      </c>
    </row>
    <row r="16" spans="1:2">
      <c r="A16" s="100" t="s">
        <v>57</v>
      </c>
    </row>
    <row r="17" spans="1:4">
      <c r="A17" s="101" t="s">
        <v>63</v>
      </c>
      <c r="B17" s="80" t="s">
        <v>62</v>
      </c>
      <c r="D17" s="80" t="s">
        <v>74</v>
      </c>
    </row>
    <row r="18" spans="1:4">
      <c r="A18" s="101" t="s">
        <v>66</v>
      </c>
    </row>
    <row r="20" spans="1:4">
      <c r="B20" s="102"/>
    </row>
    <row r="21" spans="1:4">
      <c r="A21"/>
      <c r="B21" s="103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U36"/>
  <sheetViews>
    <sheetView workbookViewId="0">
      <selection activeCell="M29" sqref="M29"/>
    </sheetView>
  </sheetViews>
  <sheetFormatPr baseColWidth="10" defaultRowHeight="14" x14ac:dyDescent="0"/>
  <cols>
    <col min="1" max="1" width="41.5" customWidth="1"/>
    <col min="2" max="8" width="12.83203125" customWidth="1"/>
    <col min="9" max="9" width="13.1640625" customWidth="1"/>
    <col min="10" max="15" width="12.83203125" customWidth="1"/>
    <col min="16" max="17" width="14" style="1" customWidth="1"/>
    <col min="18" max="18" width="10.83203125" style="1"/>
    <col min="19" max="19" width="6.83203125" style="1" customWidth="1"/>
    <col min="20" max="20" width="10.83203125" style="36"/>
  </cols>
  <sheetData>
    <row r="2" spans="1:21" ht="28.25" customHeight="1">
      <c r="A2" s="2" t="s">
        <v>45</v>
      </c>
      <c r="B2" s="3" t="s">
        <v>4</v>
      </c>
      <c r="C2" s="3" t="s">
        <v>0</v>
      </c>
      <c r="D2" s="3" t="s">
        <v>6</v>
      </c>
      <c r="E2" s="116" t="s">
        <v>35</v>
      </c>
      <c r="F2" s="3" t="s">
        <v>1</v>
      </c>
      <c r="G2" s="3" t="s">
        <v>5</v>
      </c>
      <c r="H2" s="3" t="s">
        <v>9</v>
      </c>
      <c r="I2" s="3" t="s">
        <v>3</v>
      </c>
      <c r="J2" s="3" t="s">
        <v>10</v>
      </c>
      <c r="K2" s="3" t="s">
        <v>8</v>
      </c>
      <c r="L2" s="3" t="s">
        <v>7</v>
      </c>
      <c r="M2" s="3" t="s">
        <v>2</v>
      </c>
      <c r="N2" s="116" t="s">
        <v>36</v>
      </c>
      <c r="O2" s="4" t="s">
        <v>11</v>
      </c>
      <c r="P2" s="5"/>
      <c r="Q2" s="5"/>
      <c r="R2" s="5"/>
      <c r="S2" s="5"/>
      <c r="T2" s="6"/>
    </row>
    <row r="3" spans="1:21" ht="30.5" customHeight="1">
      <c r="A3" s="52" t="s">
        <v>30</v>
      </c>
      <c r="B3" s="57" t="s">
        <v>47</v>
      </c>
      <c r="C3" s="57" t="s">
        <v>64</v>
      </c>
      <c r="D3" s="57" t="s">
        <v>46</v>
      </c>
      <c r="E3" s="57" t="s">
        <v>64</v>
      </c>
      <c r="F3" s="57" t="s">
        <v>48</v>
      </c>
      <c r="G3" s="57" t="s">
        <v>49</v>
      </c>
      <c r="H3" s="57" t="s">
        <v>46</v>
      </c>
      <c r="I3" s="57" t="s">
        <v>64</v>
      </c>
      <c r="J3" s="57" t="s">
        <v>64</v>
      </c>
      <c r="K3" s="57" t="s">
        <v>65</v>
      </c>
      <c r="L3" s="57" t="s">
        <v>50</v>
      </c>
      <c r="M3" s="57" t="s">
        <v>64</v>
      </c>
      <c r="N3" s="57" t="s">
        <v>64</v>
      </c>
      <c r="O3" s="57" t="s">
        <v>64</v>
      </c>
      <c r="P3" s="5"/>
      <c r="Q3" s="5"/>
      <c r="R3" s="5"/>
      <c r="S3" s="5"/>
      <c r="T3" s="6"/>
    </row>
    <row r="4" spans="1:21">
      <c r="A4" s="7"/>
    </row>
    <row r="5" spans="1:21" s="11" customFormat="1">
      <c r="A5" s="9" t="s">
        <v>12</v>
      </c>
      <c r="B5" s="104">
        <v>2020</v>
      </c>
      <c r="C5" s="58">
        <v>2020</v>
      </c>
      <c r="D5" s="58">
        <v>2021</v>
      </c>
      <c r="E5" s="58">
        <v>2019</v>
      </c>
      <c r="F5" s="58">
        <v>2019</v>
      </c>
      <c r="G5" s="104">
        <v>2020</v>
      </c>
      <c r="H5" s="58">
        <v>2021</v>
      </c>
      <c r="I5" s="58">
        <v>2019</v>
      </c>
      <c r="J5" s="58">
        <v>2021</v>
      </c>
      <c r="K5" s="58" t="s">
        <v>37</v>
      </c>
      <c r="L5" s="58" t="s">
        <v>33</v>
      </c>
      <c r="M5" s="58">
        <v>2019</v>
      </c>
      <c r="N5" s="58" t="s">
        <v>41</v>
      </c>
      <c r="O5" s="58">
        <v>2021</v>
      </c>
      <c r="P5" s="10"/>
      <c r="Q5" s="10"/>
      <c r="R5" s="10"/>
      <c r="S5" s="10"/>
      <c r="T5" s="15"/>
    </row>
    <row r="6" spans="1:21" s="11" customFormat="1">
      <c r="A6" s="2" t="s">
        <v>67</v>
      </c>
      <c r="B6" s="46">
        <v>296140000</v>
      </c>
      <c r="C6" s="46">
        <v>5339555000</v>
      </c>
      <c r="D6" s="46">
        <v>1803941000</v>
      </c>
      <c r="E6" s="46">
        <v>15840000000</v>
      </c>
      <c r="F6" s="46">
        <v>2057376510</v>
      </c>
      <c r="G6" s="46">
        <v>2569600000</v>
      </c>
      <c r="H6" s="46">
        <v>6700000000</v>
      </c>
      <c r="I6" s="46">
        <v>1055031810</v>
      </c>
      <c r="J6" s="46">
        <v>4526000000</v>
      </c>
      <c r="K6" s="46">
        <v>2251700000</v>
      </c>
      <c r="L6" s="46">
        <v>1826966000</v>
      </c>
      <c r="M6" s="46">
        <v>2776399500</v>
      </c>
      <c r="N6" s="46">
        <v>30000000000</v>
      </c>
      <c r="O6" s="46">
        <v>1708520880</v>
      </c>
      <c r="P6" s="47"/>
      <c r="Q6" s="47"/>
      <c r="R6" s="47"/>
      <c r="S6" s="47"/>
      <c r="T6" s="48"/>
      <c r="U6" s="49"/>
    </row>
    <row r="7" spans="1:21">
      <c r="A7" s="10"/>
      <c r="B7" s="12"/>
      <c r="C7" s="12"/>
      <c r="D7" s="12"/>
      <c r="E7" s="12"/>
      <c r="F7" s="12"/>
      <c r="G7" s="13"/>
      <c r="H7" s="1"/>
      <c r="I7" s="16"/>
      <c r="J7" s="1"/>
      <c r="K7" s="1"/>
      <c r="L7" s="1"/>
      <c r="M7" s="16"/>
      <c r="N7" s="1"/>
      <c r="O7" s="12"/>
      <c r="P7" s="12"/>
      <c r="Q7" s="12"/>
      <c r="T7" s="15"/>
      <c r="U7" s="14"/>
    </row>
    <row r="8" spans="1:21" ht="15" thickBot="1">
      <c r="A8" s="17" t="s">
        <v>26</v>
      </c>
      <c r="B8" s="18">
        <v>1554</v>
      </c>
      <c r="C8" s="18">
        <v>9192</v>
      </c>
      <c r="D8" s="18">
        <v>126937</v>
      </c>
      <c r="E8" s="18">
        <v>116718</v>
      </c>
      <c r="F8" s="18">
        <v>18420</v>
      </c>
      <c r="G8" s="18">
        <v>89720</v>
      </c>
      <c r="H8" s="18">
        <v>69000</v>
      </c>
      <c r="I8" s="18">
        <v>12043</v>
      </c>
      <c r="J8" s="18">
        <v>20296</v>
      </c>
      <c r="K8" s="18">
        <v>11054</v>
      </c>
      <c r="L8" s="18">
        <v>15712</v>
      </c>
      <c r="M8" s="18">
        <v>2817</v>
      </c>
      <c r="N8" s="18">
        <v>199885</v>
      </c>
      <c r="O8" s="18">
        <v>1662</v>
      </c>
      <c r="Q8" s="19"/>
      <c r="R8" s="19"/>
      <c r="S8" s="19"/>
      <c r="T8" s="15"/>
      <c r="U8" s="14"/>
    </row>
    <row r="9" spans="1:21" ht="16" thickTop="1" thickBot="1">
      <c r="A9" s="41" t="s">
        <v>29</v>
      </c>
      <c r="B9" s="42">
        <v>3198</v>
      </c>
      <c r="C9" s="42">
        <v>41706</v>
      </c>
      <c r="D9" s="42">
        <v>101615</v>
      </c>
      <c r="E9" s="42">
        <v>453143</v>
      </c>
      <c r="F9" s="42">
        <v>13615</v>
      </c>
      <c r="G9" s="42">
        <v>79301</v>
      </c>
      <c r="H9" s="42">
        <v>136000</v>
      </c>
      <c r="I9" s="42">
        <v>41930</v>
      </c>
      <c r="J9" s="42">
        <v>5968</v>
      </c>
      <c r="K9" s="42">
        <v>10416</v>
      </c>
      <c r="L9" s="42">
        <v>21658</v>
      </c>
      <c r="M9" s="42">
        <v>39422</v>
      </c>
      <c r="N9" s="42">
        <v>310526</v>
      </c>
      <c r="O9" s="42">
        <v>2800</v>
      </c>
      <c r="Q9" s="10"/>
      <c r="T9" s="1"/>
      <c r="U9" s="14"/>
    </row>
    <row r="10" spans="1:21" ht="15" thickTop="1">
      <c r="A10" s="78" t="s">
        <v>27</v>
      </c>
      <c r="H10" s="40"/>
      <c r="L10" s="77"/>
      <c r="T10" s="15"/>
    </row>
    <row r="11" spans="1:21">
      <c r="A11" s="22" t="s">
        <v>15</v>
      </c>
      <c r="B11" s="23" t="s">
        <v>13</v>
      </c>
      <c r="C11" s="23">
        <v>416801</v>
      </c>
      <c r="D11" s="82">
        <v>776835.27</v>
      </c>
      <c r="E11" s="23">
        <v>1147552</v>
      </c>
      <c r="F11" s="23">
        <v>163399</v>
      </c>
      <c r="G11" s="23">
        <v>250404</v>
      </c>
      <c r="H11" s="23" t="s">
        <v>13</v>
      </c>
      <c r="I11" s="23">
        <v>229822</v>
      </c>
      <c r="J11" s="23">
        <v>138563</v>
      </c>
      <c r="K11" s="39">
        <v>274471</v>
      </c>
      <c r="L11" s="20">
        <v>120024</v>
      </c>
      <c r="M11" s="21">
        <v>459090</v>
      </c>
      <c r="N11" s="21">
        <v>9195000</v>
      </c>
      <c r="O11" s="23">
        <v>205497</v>
      </c>
      <c r="Q11" s="24"/>
      <c r="T11" s="37"/>
    </row>
    <row r="12" spans="1:21">
      <c r="A12" s="22" t="s">
        <v>16</v>
      </c>
      <c r="B12" s="23" t="s">
        <v>13</v>
      </c>
      <c r="C12" s="23">
        <v>25543</v>
      </c>
      <c r="D12" s="61">
        <v>3322</v>
      </c>
      <c r="E12" s="23">
        <v>21516</v>
      </c>
      <c r="F12" s="61">
        <f>0.05*185399</f>
        <v>9269.9500000000007</v>
      </c>
      <c r="G12" s="23">
        <v>15542</v>
      </c>
      <c r="H12" s="56">
        <v>14917</v>
      </c>
      <c r="I12" s="23">
        <v>70023</v>
      </c>
      <c r="J12" s="23">
        <v>79530</v>
      </c>
      <c r="K12" s="55">
        <f>0.03*397139</f>
        <v>11914.17</v>
      </c>
      <c r="L12" s="21">
        <v>14342</v>
      </c>
      <c r="M12" s="21">
        <v>53007</v>
      </c>
      <c r="N12" s="21">
        <v>226610</v>
      </c>
      <c r="O12" s="23">
        <v>60488</v>
      </c>
      <c r="Q12" s="24"/>
      <c r="T12" s="26"/>
    </row>
    <row r="13" spans="1:21">
      <c r="A13" s="21" t="s">
        <v>17</v>
      </c>
      <c r="B13" s="23" t="s">
        <v>14</v>
      </c>
      <c r="C13" s="23">
        <v>6807</v>
      </c>
      <c r="D13" s="82">
        <v>82642.05</v>
      </c>
      <c r="E13" s="23">
        <v>101392</v>
      </c>
      <c r="F13" s="82">
        <v>6793</v>
      </c>
      <c r="G13" s="23">
        <v>5038</v>
      </c>
      <c r="H13" s="23" t="s">
        <v>13</v>
      </c>
      <c r="I13" s="23">
        <v>5488</v>
      </c>
      <c r="J13" s="23">
        <v>9048</v>
      </c>
      <c r="K13" s="39">
        <v>2684</v>
      </c>
      <c r="L13" s="21">
        <v>11000</v>
      </c>
      <c r="M13" s="21">
        <v>0</v>
      </c>
      <c r="N13" s="21">
        <v>79980</v>
      </c>
      <c r="O13" s="23">
        <v>1546</v>
      </c>
      <c r="Q13" s="24"/>
      <c r="T13" s="26"/>
    </row>
    <row r="14" spans="1:21">
      <c r="A14" s="21" t="s">
        <v>18</v>
      </c>
      <c r="B14" s="23" t="s">
        <v>14</v>
      </c>
      <c r="C14" s="23" t="s">
        <v>13</v>
      </c>
      <c r="D14" s="83">
        <v>132227.28</v>
      </c>
      <c r="E14" s="23">
        <v>286051</v>
      </c>
      <c r="F14" s="81" t="s">
        <v>40</v>
      </c>
      <c r="G14" s="23">
        <v>221</v>
      </c>
      <c r="H14" s="23" t="s">
        <v>13</v>
      </c>
      <c r="I14" s="23">
        <v>6798</v>
      </c>
      <c r="J14" s="23">
        <v>68934</v>
      </c>
      <c r="K14" s="39">
        <v>33062</v>
      </c>
      <c r="L14" s="22">
        <v>40745</v>
      </c>
      <c r="M14" s="21">
        <v>4856</v>
      </c>
      <c r="N14" s="21">
        <v>1466300</v>
      </c>
      <c r="O14" s="23">
        <v>13096</v>
      </c>
      <c r="Q14" s="24"/>
      <c r="T14" s="26"/>
    </row>
    <row r="15" spans="1:21">
      <c r="A15" s="21" t="s">
        <v>19</v>
      </c>
      <c r="B15" s="23" t="s">
        <v>13</v>
      </c>
      <c r="C15" s="23">
        <v>320</v>
      </c>
      <c r="D15" s="84" t="s">
        <v>13</v>
      </c>
      <c r="E15" s="23">
        <v>19359</v>
      </c>
      <c r="F15" s="82">
        <v>1331</v>
      </c>
      <c r="G15" s="23">
        <v>2892</v>
      </c>
      <c r="H15" s="23" t="s">
        <v>13</v>
      </c>
      <c r="I15" s="23">
        <v>371</v>
      </c>
      <c r="J15" s="23">
        <v>1055</v>
      </c>
      <c r="K15" s="39">
        <v>6097</v>
      </c>
      <c r="L15" s="21">
        <v>168</v>
      </c>
      <c r="M15" s="21">
        <v>1539</v>
      </c>
      <c r="N15" s="85">
        <v>11972</v>
      </c>
      <c r="O15" s="23">
        <v>96</v>
      </c>
      <c r="Q15" s="24"/>
      <c r="T15" s="26"/>
    </row>
    <row r="16" spans="1:21">
      <c r="A16" s="21" t="s">
        <v>20</v>
      </c>
      <c r="B16" s="23" t="s">
        <v>14</v>
      </c>
      <c r="C16" s="23">
        <v>7121</v>
      </c>
      <c r="D16" s="23" t="s">
        <v>13</v>
      </c>
      <c r="E16" s="23">
        <v>147795</v>
      </c>
      <c r="F16" s="82">
        <v>7324</v>
      </c>
      <c r="G16" s="23">
        <v>1083</v>
      </c>
      <c r="H16" s="23" t="s">
        <v>13</v>
      </c>
      <c r="I16" s="23">
        <v>1630</v>
      </c>
      <c r="J16" s="23">
        <v>3959</v>
      </c>
      <c r="K16" s="39">
        <v>13542</v>
      </c>
      <c r="L16" s="21">
        <v>31001</v>
      </c>
      <c r="M16" s="21">
        <v>3909</v>
      </c>
      <c r="N16" s="21">
        <v>13330</v>
      </c>
      <c r="O16" s="25">
        <v>8937</v>
      </c>
      <c r="Q16" s="24"/>
      <c r="T16" s="26"/>
    </row>
    <row r="17" spans="1:20">
      <c r="A17" s="21" t="s">
        <v>21</v>
      </c>
      <c r="B17" s="23" t="s">
        <v>14</v>
      </c>
      <c r="C17" s="23">
        <v>35192</v>
      </c>
      <c r="D17" s="23" t="s">
        <v>13</v>
      </c>
      <c r="E17" s="23">
        <v>138010</v>
      </c>
      <c r="F17" s="61">
        <f>1.96*8120</f>
        <v>15915.199999999999</v>
      </c>
      <c r="G17" s="23">
        <v>20400</v>
      </c>
      <c r="H17" s="23" t="s">
        <v>13</v>
      </c>
      <c r="I17" s="23">
        <v>3830</v>
      </c>
      <c r="J17" s="23">
        <v>7616</v>
      </c>
      <c r="K17" s="39">
        <v>6188</v>
      </c>
      <c r="L17" s="20">
        <v>11312</v>
      </c>
      <c r="M17" s="21">
        <v>3860</v>
      </c>
      <c r="N17" s="21">
        <v>53320</v>
      </c>
      <c r="O17" s="27">
        <v>2283</v>
      </c>
      <c r="Q17" s="24"/>
      <c r="T17" s="28"/>
    </row>
    <row r="18" spans="1:20">
      <c r="A18" s="21" t="s">
        <v>22</v>
      </c>
      <c r="B18" s="81" t="s">
        <v>40</v>
      </c>
      <c r="C18" s="23">
        <v>35541</v>
      </c>
      <c r="D18" s="23" t="s">
        <v>13</v>
      </c>
      <c r="E18" s="23">
        <v>1359</v>
      </c>
      <c r="F18" s="81" t="s">
        <v>40</v>
      </c>
      <c r="G18" s="81" t="s">
        <v>40</v>
      </c>
      <c r="H18" s="81" t="s">
        <v>40</v>
      </c>
      <c r="I18" s="81" t="s">
        <v>40</v>
      </c>
      <c r="J18" s="23">
        <v>547</v>
      </c>
      <c r="K18" s="81" t="s">
        <v>40</v>
      </c>
      <c r="L18" s="81" t="s">
        <v>40</v>
      </c>
      <c r="M18" s="81" t="s">
        <v>40</v>
      </c>
      <c r="N18" s="81" t="s">
        <v>40</v>
      </c>
      <c r="O18" s="81" t="s">
        <v>40</v>
      </c>
      <c r="P18" s="24"/>
      <c r="Q18" s="24"/>
      <c r="T18" s="26"/>
    </row>
    <row r="19" spans="1:20">
      <c r="A19" s="105" t="s">
        <v>23</v>
      </c>
      <c r="B19" s="106"/>
      <c r="C19" s="106"/>
      <c r="D19" s="111">
        <f>1652841*0.07</f>
        <v>115698.87000000001</v>
      </c>
      <c r="E19" s="106"/>
      <c r="F19" s="106"/>
      <c r="G19" s="106"/>
      <c r="H19" s="112"/>
      <c r="I19" s="106"/>
      <c r="J19" s="106"/>
      <c r="K19" s="113"/>
      <c r="L19" s="113"/>
      <c r="M19" s="105"/>
      <c r="N19" s="105"/>
      <c r="O19" s="114"/>
      <c r="P19" s="24"/>
      <c r="Q19" s="24"/>
      <c r="T19" s="38"/>
    </row>
    <row r="20" spans="1:20">
      <c r="A20" s="107" t="s">
        <v>24</v>
      </c>
      <c r="B20" s="108" t="s">
        <v>13</v>
      </c>
      <c r="C20" s="108">
        <v>101453</v>
      </c>
      <c r="D20" s="108" t="s">
        <v>13</v>
      </c>
      <c r="E20" s="108">
        <v>1524</v>
      </c>
      <c r="F20" s="108">
        <v>74424</v>
      </c>
      <c r="G20" s="108">
        <v>16005</v>
      </c>
      <c r="H20" s="108" t="s">
        <v>13</v>
      </c>
      <c r="I20" s="108" t="s">
        <v>13</v>
      </c>
      <c r="J20" s="107" t="s">
        <v>34</v>
      </c>
      <c r="K20" s="109">
        <v>28900</v>
      </c>
      <c r="L20" s="109">
        <v>8360</v>
      </c>
      <c r="M20" s="107">
        <v>3378</v>
      </c>
      <c r="N20" s="108" t="s">
        <v>13</v>
      </c>
      <c r="O20" s="110" t="s">
        <v>40</v>
      </c>
      <c r="T20" s="26"/>
    </row>
    <row r="21" spans="1:20" ht="14.5" customHeight="1" thickBot="1">
      <c r="A21" s="118" t="s">
        <v>69</v>
      </c>
      <c r="B21" s="117">
        <v>35979</v>
      </c>
      <c r="C21" s="115">
        <f>SUM(C11:C20)</f>
        <v>628778</v>
      </c>
      <c r="D21" s="115">
        <f t="shared" ref="D21:G21" si="0">SUM(D11:D20)</f>
        <v>1110725.4700000002</v>
      </c>
      <c r="E21" s="115">
        <f t="shared" si="0"/>
        <v>1864558</v>
      </c>
      <c r="F21" s="115">
        <f t="shared" si="0"/>
        <v>278456.15000000002</v>
      </c>
      <c r="G21" s="115">
        <f t="shared" si="0"/>
        <v>311585</v>
      </c>
      <c r="H21" s="115">
        <v>311000</v>
      </c>
      <c r="I21" s="115">
        <f>SUM(I11:I20)</f>
        <v>317962</v>
      </c>
      <c r="J21" s="115">
        <f t="shared" ref="J21" si="1">SUM(J11:J20)</f>
        <v>309252</v>
      </c>
      <c r="K21" s="115">
        <f t="shared" ref="K21" si="2">SUM(K11:K20)</f>
        <v>376858.17</v>
      </c>
      <c r="L21" s="115">
        <f t="shared" ref="L21" si="3">SUM(L11:L20)</f>
        <v>236952</v>
      </c>
      <c r="M21" s="115">
        <f t="shared" ref="M21" si="4">SUM(M11:M20)</f>
        <v>529639</v>
      </c>
      <c r="N21" s="115">
        <f t="shared" ref="N21" si="5">SUM(N11:N20)</f>
        <v>11046512</v>
      </c>
      <c r="O21" s="115">
        <f t="shared" ref="O21" si="6">SUM(O11:O20)</f>
        <v>291943</v>
      </c>
      <c r="T21" s="26"/>
    </row>
    <row r="22" spans="1:20" ht="14.5" customHeight="1" thickTop="1">
      <c r="B22" s="32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T22" s="26"/>
    </row>
    <row r="23" spans="1:20" s="45" customFormat="1">
      <c r="A23" s="50" t="s">
        <v>32</v>
      </c>
      <c r="B23" s="43">
        <f>SUM(B8:B21)</f>
        <v>40731</v>
      </c>
      <c r="C23" s="43">
        <f>SUM(C8:C20)</f>
        <v>679676</v>
      </c>
      <c r="D23" s="33">
        <f t="shared" ref="D23:O23" si="7">SUM(D8:D20)</f>
        <v>1339277.4700000002</v>
      </c>
      <c r="E23" s="43">
        <f t="shared" si="7"/>
        <v>2434419</v>
      </c>
      <c r="F23" s="33">
        <f t="shared" si="7"/>
        <v>310491.15000000002</v>
      </c>
      <c r="G23" s="43">
        <f t="shared" si="7"/>
        <v>480606</v>
      </c>
      <c r="H23" s="33">
        <f>SUM(H8:H21)</f>
        <v>530917</v>
      </c>
      <c r="I23" s="43">
        <f t="shared" si="7"/>
        <v>371935</v>
      </c>
      <c r="J23" s="43">
        <f t="shared" si="7"/>
        <v>335516</v>
      </c>
      <c r="K23" s="43">
        <f>SUM(K8:K20)</f>
        <v>398328.17</v>
      </c>
      <c r="L23" s="43">
        <f>SUM(L8:L20)</f>
        <v>274322</v>
      </c>
      <c r="M23" s="43">
        <f t="shared" si="7"/>
        <v>571878</v>
      </c>
      <c r="N23" s="43">
        <f t="shared" si="7"/>
        <v>11556923</v>
      </c>
      <c r="O23" s="43">
        <f t="shared" si="7"/>
        <v>296405</v>
      </c>
      <c r="P23" s="44"/>
      <c r="Q23" s="44"/>
      <c r="R23" s="44"/>
      <c r="S23" s="44"/>
      <c r="T23" s="44"/>
    </row>
    <row r="24" spans="1:20">
      <c r="A24" s="8" t="s">
        <v>31</v>
      </c>
      <c r="B24" s="51">
        <f t="shared" ref="B24:O24" si="8">B23*1000/B6</f>
        <v>0.1375396771797123</v>
      </c>
      <c r="C24" s="51">
        <f t="shared" si="8"/>
        <v>0.12729075737584875</v>
      </c>
      <c r="D24" s="51">
        <f t="shared" si="8"/>
        <v>0.74241755689349054</v>
      </c>
      <c r="E24" s="51">
        <f t="shared" si="8"/>
        <v>0.15368806818181818</v>
      </c>
      <c r="F24" s="51">
        <f t="shared" si="8"/>
        <v>0.15091605668230362</v>
      </c>
      <c r="G24" s="51">
        <f t="shared" si="8"/>
        <v>0.18703533623910337</v>
      </c>
      <c r="H24" s="51">
        <f>H23*1000/H6</f>
        <v>7.9241343283582094E-2</v>
      </c>
      <c r="I24" s="51">
        <f t="shared" si="8"/>
        <v>0.35253439419992466</v>
      </c>
      <c r="J24" s="51">
        <f t="shared" si="8"/>
        <v>7.4130799823243484E-2</v>
      </c>
      <c r="K24" s="51">
        <f t="shared" si="8"/>
        <v>0.17690108362570503</v>
      </c>
      <c r="L24" s="51">
        <f>L23*1000/L6</f>
        <v>0.15015167222597464</v>
      </c>
      <c r="M24" s="51">
        <f t="shared" si="8"/>
        <v>0.20597828230411366</v>
      </c>
      <c r="N24" s="51">
        <f t="shared" si="8"/>
        <v>0.38523076666666667</v>
      </c>
      <c r="O24" s="51">
        <f t="shared" si="8"/>
        <v>0.17348631993306396</v>
      </c>
      <c r="P24" s="34"/>
      <c r="Q24" s="34"/>
      <c r="R24" s="34"/>
      <c r="S24" s="34"/>
      <c r="T24" s="34"/>
    </row>
    <row r="25" spans="1:20" s="52" customFormat="1">
      <c r="D25" s="59"/>
      <c r="P25" s="53"/>
      <c r="Q25" s="53"/>
      <c r="R25" s="53"/>
      <c r="S25" s="53"/>
      <c r="T25" s="54"/>
    </row>
    <row r="26" spans="1:20">
      <c r="A26" s="129" t="s">
        <v>28</v>
      </c>
      <c r="B26" s="130"/>
      <c r="C26" s="131"/>
      <c r="D26" s="131"/>
      <c r="E26" s="131"/>
      <c r="F26" s="131"/>
      <c r="G26" s="131"/>
      <c r="H26" s="131"/>
      <c r="I26" s="132"/>
      <c r="J26" s="62"/>
      <c r="K26" s="62"/>
      <c r="L26" s="62"/>
      <c r="M26" s="62"/>
      <c r="N26" s="62"/>
      <c r="O26" s="62"/>
      <c r="P26" s="60"/>
      <c r="Q26" s="35"/>
      <c r="R26" s="35"/>
      <c r="S26" s="35"/>
    </row>
    <row r="27" spans="1:20">
      <c r="A27" s="133" t="s">
        <v>39</v>
      </c>
      <c r="B27" s="127"/>
      <c r="C27" s="127"/>
      <c r="D27" s="127"/>
      <c r="E27" s="127"/>
      <c r="F27" s="127"/>
      <c r="G27" s="141"/>
      <c r="H27" s="127"/>
      <c r="I27" s="134"/>
      <c r="J27" s="14"/>
      <c r="K27" s="14"/>
      <c r="L27" s="14"/>
      <c r="M27" s="14"/>
      <c r="N27" s="14"/>
      <c r="O27" s="14"/>
    </row>
    <row r="28" spans="1:20">
      <c r="A28" s="135" t="s">
        <v>71</v>
      </c>
      <c r="B28" s="128"/>
      <c r="C28" s="128"/>
      <c r="D28" s="128"/>
      <c r="E28" s="128"/>
      <c r="F28" s="128"/>
      <c r="G28" s="128"/>
      <c r="H28" s="128"/>
      <c r="I28" s="136"/>
    </row>
    <row r="29" spans="1:20">
      <c r="A29" s="135" t="s">
        <v>68</v>
      </c>
      <c r="B29" s="128"/>
      <c r="C29" s="128"/>
      <c r="D29" s="128"/>
      <c r="E29" s="128"/>
      <c r="F29" s="128"/>
      <c r="G29" s="128"/>
      <c r="H29" s="128"/>
      <c r="I29" s="136"/>
    </row>
    <row r="30" spans="1:20">
      <c r="A30" s="135" t="s">
        <v>70</v>
      </c>
      <c r="B30" s="128"/>
      <c r="C30" s="128"/>
      <c r="D30" s="128"/>
      <c r="E30" s="128"/>
      <c r="F30" s="128"/>
      <c r="G30" s="128"/>
      <c r="H30" s="128"/>
      <c r="I30" s="136"/>
    </row>
    <row r="31" spans="1:20">
      <c r="A31" s="137" t="s">
        <v>38</v>
      </c>
      <c r="B31" s="138"/>
      <c r="C31" s="138"/>
      <c r="D31" s="138"/>
      <c r="E31" s="138"/>
      <c r="F31" s="138"/>
      <c r="G31" s="138"/>
      <c r="H31" s="138"/>
      <c r="I31" s="139"/>
    </row>
    <row r="34" spans="11:14">
      <c r="K34" s="63"/>
    </row>
    <row r="36" spans="11:14">
      <c r="N36" s="1"/>
    </row>
  </sheetData>
  <sortState columnSort="1" ref="B2:O33">
    <sortCondition ref="B2:O2"/>
  </sortState>
  <pageMargins left="0.7" right="0.7" top="0.75" bottom="0.75" header="0.3" footer="0.3"/>
  <pageSetup paperSize="9" orientation="portrait" horizontalDpi="360" verticalDpi="36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U40"/>
  <sheetViews>
    <sheetView workbookViewId="0">
      <selection activeCell="G32" sqref="G32"/>
    </sheetView>
  </sheetViews>
  <sheetFormatPr baseColWidth="10" defaultRowHeight="14" x14ac:dyDescent="0"/>
  <cols>
    <col min="1" max="1" width="38.6640625" customWidth="1"/>
    <col min="3" max="3" width="12.6640625" customWidth="1"/>
    <col min="4" max="4" width="12.33203125" customWidth="1"/>
    <col min="5" max="5" width="14.83203125" customWidth="1"/>
    <col min="6" max="6" width="12.33203125" customWidth="1"/>
    <col min="8" max="8" width="12.1640625" customWidth="1"/>
    <col min="10" max="10" width="11.83203125" customWidth="1"/>
    <col min="11" max="11" width="12.33203125" customWidth="1"/>
    <col min="14" max="14" width="12.83203125" customWidth="1"/>
    <col min="16" max="17" width="14" style="1" customWidth="1"/>
    <col min="18" max="18" width="10.83203125" style="1"/>
    <col min="19" max="19" width="6.83203125" style="1" customWidth="1"/>
    <col min="20" max="20" width="10.83203125" style="36"/>
  </cols>
  <sheetData>
    <row r="2" spans="1:21" ht="27.5" customHeight="1">
      <c r="A2" s="2" t="s">
        <v>45</v>
      </c>
      <c r="B2" s="3" t="s">
        <v>4</v>
      </c>
      <c r="C2" s="3" t="s">
        <v>0</v>
      </c>
      <c r="D2" s="3" t="s">
        <v>6</v>
      </c>
      <c r="E2" s="116" t="s">
        <v>35</v>
      </c>
      <c r="F2" s="3" t="s">
        <v>1</v>
      </c>
      <c r="G2" s="3" t="s">
        <v>5</v>
      </c>
      <c r="H2" s="3" t="s">
        <v>9</v>
      </c>
      <c r="I2" s="3" t="s">
        <v>3</v>
      </c>
      <c r="J2" s="3" t="s">
        <v>10</v>
      </c>
      <c r="K2" s="3" t="s">
        <v>8</v>
      </c>
      <c r="L2" s="3" t="s">
        <v>7</v>
      </c>
      <c r="M2" s="3" t="s">
        <v>2</v>
      </c>
      <c r="N2" s="116" t="s">
        <v>36</v>
      </c>
      <c r="O2" s="4" t="s">
        <v>11</v>
      </c>
      <c r="P2" s="5"/>
      <c r="Q2" s="5"/>
      <c r="R2" s="5"/>
      <c r="S2" s="5"/>
      <c r="T2" s="6"/>
    </row>
    <row r="3" spans="1:21" ht="45" customHeight="1">
      <c r="A3" s="52" t="s">
        <v>30</v>
      </c>
      <c r="B3" s="57" t="s">
        <v>47</v>
      </c>
      <c r="C3" s="57" t="s">
        <v>64</v>
      </c>
      <c r="D3" s="57" t="s">
        <v>46</v>
      </c>
      <c r="E3" s="57" t="s">
        <v>64</v>
      </c>
      <c r="F3" s="57" t="s">
        <v>48</v>
      </c>
      <c r="G3" s="57" t="s">
        <v>49</v>
      </c>
      <c r="H3" s="57" t="s">
        <v>46</v>
      </c>
      <c r="I3" s="57" t="s">
        <v>64</v>
      </c>
      <c r="J3" s="57" t="s">
        <v>64</v>
      </c>
      <c r="K3" s="57" t="s">
        <v>65</v>
      </c>
      <c r="L3" s="57" t="s">
        <v>50</v>
      </c>
      <c r="M3" s="57" t="s">
        <v>64</v>
      </c>
      <c r="N3" s="57" t="s">
        <v>64</v>
      </c>
      <c r="O3" s="57" t="s">
        <v>64</v>
      </c>
      <c r="P3" s="5"/>
      <c r="Q3" s="5"/>
      <c r="R3" s="5"/>
      <c r="S3" s="5"/>
      <c r="T3" s="6"/>
    </row>
    <row r="4" spans="1:21">
      <c r="A4" s="7"/>
    </row>
    <row r="5" spans="1:21" s="11" customFormat="1">
      <c r="A5" s="9" t="s">
        <v>12</v>
      </c>
      <c r="B5" s="9">
        <v>2020</v>
      </c>
      <c r="C5" s="8">
        <v>2020</v>
      </c>
      <c r="D5" s="8">
        <v>2021</v>
      </c>
      <c r="E5" s="8">
        <v>2019</v>
      </c>
      <c r="F5" s="8">
        <v>2019</v>
      </c>
      <c r="G5" s="9">
        <v>2020</v>
      </c>
      <c r="H5" s="8">
        <v>2021</v>
      </c>
      <c r="I5" s="8">
        <v>2019</v>
      </c>
      <c r="J5" s="8">
        <v>2021</v>
      </c>
      <c r="K5" s="58" t="s">
        <v>37</v>
      </c>
      <c r="L5" s="58" t="s">
        <v>33</v>
      </c>
      <c r="M5" s="8">
        <v>2019</v>
      </c>
      <c r="N5" s="98" t="s">
        <v>41</v>
      </c>
      <c r="O5" s="8">
        <v>2020</v>
      </c>
      <c r="P5" s="10"/>
      <c r="Q5" s="10"/>
      <c r="R5" s="10"/>
      <c r="S5" s="10"/>
      <c r="T5" s="15"/>
    </row>
    <row r="6" spans="1:21" s="11" customFormat="1">
      <c r="A6" s="2" t="s">
        <v>25</v>
      </c>
      <c r="B6" s="46">
        <v>296140000</v>
      </c>
      <c r="C6" s="46">
        <v>5339555000</v>
      </c>
      <c r="D6" s="46">
        <v>1803941000</v>
      </c>
      <c r="E6" s="46">
        <v>15840000000</v>
      </c>
      <c r="F6" s="46">
        <v>2057376510</v>
      </c>
      <c r="G6" s="46">
        <v>2569600000</v>
      </c>
      <c r="H6" s="46">
        <v>6700000000</v>
      </c>
      <c r="I6" s="46">
        <v>1055031810</v>
      </c>
      <c r="J6" s="46">
        <v>4526000000</v>
      </c>
      <c r="K6" s="46">
        <v>2251700000</v>
      </c>
      <c r="L6" s="46">
        <v>1826966000</v>
      </c>
      <c r="M6" s="46">
        <v>2776399500</v>
      </c>
      <c r="N6" s="46">
        <v>30000000000</v>
      </c>
      <c r="O6" s="46">
        <v>1708520880</v>
      </c>
      <c r="P6" s="47"/>
      <c r="Q6" s="47"/>
      <c r="R6" s="47"/>
      <c r="S6" s="47"/>
      <c r="T6" s="48"/>
      <c r="U6" s="49"/>
    </row>
    <row r="7" spans="1:21">
      <c r="A7" s="10"/>
      <c r="B7" s="71"/>
      <c r="C7" s="71"/>
      <c r="D7" s="71"/>
      <c r="E7" s="71"/>
      <c r="F7" s="71"/>
      <c r="G7" s="71"/>
      <c r="H7" s="7"/>
      <c r="I7" s="72"/>
      <c r="J7" s="7"/>
      <c r="K7" s="7"/>
      <c r="L7" s="7"/>
      <c r="M7" s="72"/>
      <c r="N7" s="7"/>
      <c r="O7" s="71"/>
      <c r="P7" s="12"/>
      <c r="Q7" s="12"/>
      <c r="T7" s="15"/>
      <c r="U7" s="14"/>
    </row>
    <row r="8" spans="1:21" ht="15" thickBot="1">
      <c r="A8" s="17" t="s">
        <v>42</v>
      </c>
      <c r="B8" s="73">
        <v>3.8152758341312515E-2</v>
      </c>
      <c r="C8" s="73">
        <v>1.3524090890365409E-2</v>
      </c>
      <c r="D8" s="73">
        <v>9.5015891510216277E-2</v>
      </c>
      <c r="E8" s="73">
        <v>4.7944910058621788E-2</v>
      </c>
      <c r="F8" s="73">
        <v>5.9325362413711301E-2</v>
      </c>
      <c r="G8" s="73">
        <v>0.18668098192698385</v>
      </c>
      <c r="H8" s="73">
        <v>0.12996381731984472</v>
      </c>
      <c r="I8" s="73">
        <v>3.2379313589740145E-2</v>
      </c>
      <c r="J8" s="73">
        <v>6.0491899045052991E-2</v>
      </c>
      <c r="K8" s="73">
        <v>2.7750987332881831E-2</v>
      </c>
      <c r="L8" s="73">
        <v>5.7275756228082328E-2</v>
      </c>
      <c r="M8" s="73">
        <v>4.9258757986843345E-3</v>
      </c>
      <c r="N8" s="73">
        <v>1.7313629135368352E-2</v>
      </c>
      <c r="O8" s="73">
        <v>5.6071928611190766E-3</v>
      </c>
      <c r="P8" s="19"/>
      <c r="Q8" s="19"/>
      <c r="R8" s="19"/>
      <c r="S8" s="19"/>
      <c r="T8" s="15"/>
      <c r="U8" s="14"/>
    </row>
    <row r="9" spans="1:21" ht="16" thickTop="1" thickBot="1">
      <c r="A9" s="41" t="s">
        <v>43</v>
      </c>
      <c r="B9" s="74">
        <v>7.851513589158135E-2</v>
      </c>
      <c r="C9" s="74">
        <v>6.1361589934027391E-2</v>
      </c>
      <c r="D9" s="74">
        <v>7.6061666935650182E-2</v>
      </c>
      <c r="E9" s="74">
        <v>0.18614010160124447</v>
      </c>
      <c r="F9" s="74">
        <v>4.3849881067463597E-2</v>
      </c>
      <c r="G9" s="74">
        <v>0.16500210151350586</v>
      </c>
      <c r="H9" s="74">
        <v>0.2561605674709983</v>
      </c>
      <c r="I9" s="74">
        <v>0.11273475204000699</v>
      </c>
      <c r="J9" s="74">
        <v>1.7787527271426698E-2</v>
      </c>
      <c r="K9" s="74">
        <v>2.6149292931002092E-2</v>
      </c>
      <c r="L9" s="74">
        <v>7.8951013772136397E-2</v>
      </c>
      <c r="M9" s="74">
        <v>6.8934283186273995E-2</v>
      </c>
      <c r="N9" s="74">
        <v>2.6897125851811757E-2</v>
      </c>
      <c r="O9" s="74">
        <v>9.4465343027276862E-3</v>
      </c>
      <c r="P9" s="10"/>
      <c r="Q9" s="10"/>
      <c r="T9" s="1"/>
      <c r="U9" s="14"/>
    </row>
    <row r="10" spans="1:21" ht="15" thickTop="1">
      <c r="A10" s="78" t="s">
        <v>44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T10" s="15"/>
    </row>
    <row r="11" spans="1:21">
      <c r="A11" s="22" t="s">
        <v>15</v>
      </c>
      <c r="B11" s="65" t="s">
        <v>13</v>
      </c>
      <c r="C11" s="65">
        <v>0.61323483542158319</v>
      </c>
      <c r="D11" s="65">
        <v>0.58148290676185477</v>
      </c>
      <c r="E11" s="65">
        <v>0.47138639650774988</v>
      </c>
      <c r="F11" s="65">
        <v>0.52625976618013104</v>
      </c>
      <c r="G11" s="65">
        <v>0.52101721576509652</v>
      </c>
      <c r="H11" s="65" t="s">
        <v>13</v>
      </c>
      <c r="I11" s="65">
        <v>0.61790904324680385</v>
      </c>
      <c r="J11" s="65">
        <v>0.41298477568878983</v>
      </c>
      <c r="K11" s="65">
        <v>0.68905746736415863</v>
      </c>
      <c r="L11" s="65">
        <v>0.43752961847755556</v>
      </c>
      <c r="M11" s="65">
        <v>0.80277611658430648</v>
      </c>
      <c r="N11" s="65">
        <v>0.79645205943273389</v>
      </c>
      <c r="O11" s="65">
        <v>0.69329802128843976</v>
      </c>
      <c r="P11" s="24"/>
      <c r="Q11" s="24"/>
      <c r="T11" s="37"/>
    </row>
    <row r="12" spans="1:21">
      <c r="A12" s="22" t="s">
        <v>16</v>
      </c>
      <c r="B12" s="66" t="s">
        <v>13</v>
      </c>
      <c r="C12" s="66">
        <v>3.7581141602763671E-2</v>
      </c>
      <c r="D12" s="140">
        <f>(0.03*1335955)/1335955.47</f>
        <v>2.9999989445756003E-2</v>
      </c>
      <c r="E12" s="66">
        <v>8.838248469141918E-3</v>
      </c>
      <c r="F12" s="140">
        <f>(0.05*185399)/310491.15</f>
        <v>2.9855762394515914E-2</v>
      </c>
      <c r="G12" s="66">
        <v>3.2338339513031465E-2</v>
      </c>
      <c r="H12" s="140">
        <v>3.0105647558729208E-2</v>
      </c>
      <c r="I12" s="66">
        <v>0.18826676704262843</v>
      </c>
      <c r="J12" s="66">
        <v>0.23703787598803039</v>
      </c>
      <c r="K12" s="140">
        <f>(0.03*397139)/398328.17</f>
        <v>2.991043791856348E-2</v>
      </c>
      <c r="L12" s="66">
        <v>5.2281625243327183E-2</v>
      </c>
      <c r="M12" s="66">
        <v>9.2689349826361567E-2</v>
      </c>
      <c r="N12" s="66">
        <v>1.9628493875807701E-2</v>
      </c>
      <c r="O12" s="66">
        <v>0.20407213103692584</v>
      </c>
      <c r="P12" s="24"/>
      <c r="Q12" s="24"/>
      <c r="T12" s="26"/>
    </row>
    <row r="13" spans="1:21">
      <c r="A13" s="21" t="s">
        <v>17</v>
      </c>
      <c r="B13" s="66" t="s">
        <v>14</v>
      </c>
      <c r="C13" s="66">
        <v>1.0015066002036265E-2</v>
      </c>
      <c r="D13" s="66">
        <v>6.1859883698069669E-2</v>
      </c>
      <c r="E13" s="66">
        <v>4.1649362743225386E-2</v>
      </c>
      <c r="F13" s="66">
        <v>2.1878240329877355E-2</v>
      </c>
      <c r="G13" s="66">
        <v>1.0482599052030145E-2</v>
      </c>
      <c r="H13" s="66" t="s">
        <v>13</v>
      </c>
      <c r="I13" s="66">
        <v>1.4755266377189562E-2</v>
      </c>
      <c r="J13" s="66">
        <v>2.6967417351184443E-2</v>
      </c>
      <c r="K13" s="66">
        <v>6.7381626561837191E-3</v>
      </c>
      <c r="L13" s="66">
        <v>4.009886192139165E-2</v>
      </c>
      <c r="M13" s="66">
        <v>0</v>
      </c>
      <c r="N13" s="66">
        <v>6.9277037208733067E-3</v>
      </c>
      <c r="O13" s="66">
        <v>5.215836440006073E-3</v>
      </c>
      <c r="P13" s="24"/>
      <c r="Q13" s="24"/>
      <c r="T13" s="26"/>
    </row>
    <row r="14" spans="1:21">
      <c r="A14" s="21" t="s">
        <v>18</v>
      </c>
      <c r="B14" s="66" t="s">
        <v>14</v>
      </c>
      <c r="C14" s="66" t="s">
        <v>13</v>
      </c>
      <c r="D14" s="66">
        <v>9.8975813916911473E-2</v>
      </c>
      <c r="E14" s="66">
        <v>0.11750277992408045</v>
      </c>
      <c r="F14" s="81" t="s">
        <v>40</v>
      </c>
      <c r="G14" s="66">
        <v>4.5983612356067133E-4</v>
      </c>
      <c r="H14" s="66" t="s">
        <v>13</v>
      </c>
      <c r="I14" s="66">
        <v>1.8277387177867102E-2</v>
      </c>
      <c r="J14" s="66">
        <v>0.20545666972663001</v>
      </c>
      <c r="K14" s="66">
        <v>8.3001912719354004E-2</v>
      </c>
      <c r="L14" s="66">
        <v>0.14852982990791844</v>
      </c>
      <c r="M14" s="66">
        <v>8.4913215755808048E-3</v>
      </c>
      <c r="N14" s="66">
        <v>0.12700790154934394</v>
      </c>
      <c r="O14" s="66">
        <v>4.418279043875778E-2</v>
      </c>
      <c r="P14" s="24"/>
      <c r="Q14" s="24"/>
      <c r="R14" s="87"/>
      <c r="T14" s="26"/>
    </row>
    <row r="15" spans="1:21">
      <c r="A15" s="21" t="s">
        <v>19</v>
      </c>
      <c r="B15" s="66" t="s">
        <v>13</v>
      </c>
      <c r="C15" s="68">
        <v>4.7081256363326054E-4</v>
      </c>
      <c r="D15" s="66" t="s">
        <v>13</v>
      </c>
      <c r="E15" s="66">
        <v>7.9522054338221973E-3</v>
      </c>
      <c r="F15" s="66">
        <v>4.2867566434663272E-3</v>
      </c>
      <c r="G15" s="66">
        <v>6.0174030286762959E-3</v>
      </c>
      <c r="H15" s="66" t="s">
        <v>13</v>
      </c>
      <c r="I15" s="66">
        <v>9.974861198865394E-4</v>
      </c>
      <c r="J15" s="66">
        <v>3.1444104006962412E-3</v>
      </c>
      <c r="K15" s="66">
        <v>1.5306474558402436E-2</v>
      </c>
      <c r="L15" s="66">
        <v>6.1241898207216338E-4</v>
      </c>
      <c r="M15" s="66">
        <v>2.6911334235623684E-3</v>
      </c>
      <c r="N15" s="88">
        <v>1E-3</v>
      </c>
      <c r="O15" s="66">
        <v>3.2388117609352066E-4</v>
      </c>
      <c r="P15" s="24"/>
      <c r="Q15" s="24"/>
      <c r="T15" s="26"/>
    </row>
    <row r="16" spans="1:21">
      <c r="A16" s="21" t="s">
        <v>20</v>
      </c>
      <c r="B16" s="66" t="s">
        <v>14</v>
      </c>
      <c r="C16" s="66">
        <v>1.0477050830101401E-2</v>
      </c>
      <c r="D16" s="66" t="s">
        <v>13</v>
      </c>
      <c r="E16" s="66">
        <v>6.0710584332442363E-2</v>
      </c>
      <c r="F16" s="66">
        <v>2.3588434002064146E-2</v>
      </c>
      <c r="G16" s="66">
        <v>2.2534050760914344E-3</v>
      </c>
      <c r="H16" s="66" t="s">
        <v>13</v>
      </c>
      <c r="I16" s="66">
        <v>4.3824861871025848E-3</v>
      </c>
      <c r="J16" s="66">
        <v>1.179973533303926E-2</v>
      </c>
      <c r="K16" s="66">
        <v>3.3997093401654223E-2</v>
      </c>
      <c r="L16" s="66">
        <v>0.11300952894773296</v>
      </c>
      <c r="M16" s="66">
        <v>6.8353739783660154E-3</v>
      </c>
      <c r="N16" s="66">
        <v>1.1546172868122178E-3</v>
      </c>
      <c r="O16" s="66">
        <v>3.0151313236956193E-2</v>
      </c>
      <c r="P16" s="24"/>
      <c r="Q16" s="24"/>
      <c r="T16" s="26"/>
    </row>
    <row r="17" spans="1:20">
      <c r="A17" s="21" t="s">
        <v>21</v>
      </c>
      <c r="B17" s="66" t="s">
        <v>14</v>
      </c>
      <c r="C17" s="66">
        <v>5.1777611685567833E-2</v>
      </c>
      <c r="D17" s="66" t="s">
        <v>13</v>
      </c>
      <c r="E17" s="66">
        <v>5.6691144786497311E-2</v>
      </c>
      <c r="F17" s="140">
        <f>(1.96*8120)/310491.15</f>
        <v>5.1258143750635074E-2</v>
      </c>
      <c r="G17" s="66">
        <v>4.2446411405600432E-2</v>
      </c>
      <c r="H17" s="66" t="s">
        <v>13</v>
      </c>
      <c r="I17" s="66">
        <v>1.0297498218774785E-2</v>
      </c>
      <c r="J17" s="66">
        <v>2.2699364560855518E-2</v>
      </c>
      <c r="K17" s="66">
        <v>1.5534929402557695E-2</v>
      </c>
      <c r="L17" s="66">
        <v>4.1236211459525669E-2</v>
      </c>
      <c r="M17" s="66">
        <v>6.7496913677392734E-3</v>
      </c>
      <c r="N17" s="66">
        <v>4.6184691472488711E-3</v>
      </c>
      <c r="O17" s="66">
        <v>7.7022992189740387E-3</v>
      </c>
      <c r="P17" s="24"/>
      <c r="Q17" s="24"/>
      <c r="T17" s="28"/>
    </row>
    <row r="18" spans="1:20">
      <c r="A18" s="64" t="s">
        <v>22</v>
      </c>
      <c r="B18" s="81" t="s">
        <v>40</v>
      </c>
      <c r="C18" s="70">
        <v>5.2291091637780354E-2</v>
      </c>
      <c r="D18" s="66" t="s">
        <v>13</v>
      </c>
      <c r="E18" s="66">
        <v>5.5824408205818311E-4</v>
      </c>
      <c r="F18" s="81" t="s">
        <v>40</v>
      </c>
      <c r="G18" s="81" t="s">
        <v>40</v>
      </c>
      <c r="H18" s="81" t="s">
        <v>40</v>
      </c>
      <c r="I18" s="81" t="s">
        <v>40</v>
      </c>
      <c r="J18" s="66">
        <v>1.6303246342946388E-3</v>
      </c>
      <c r="K18" s="81" t="s">
        <v>40</v>
      </c>
      <c r="L18" s="81" t="s">
        <v>40</v>
      </c>
      <c r="M18" s="81" t="s">
        <v>40</v>
      </c>
      <c r="N18" s="81" t="s">
        <v>40</v>
      </c>
      <c r="O18" s="81" t="s">
        <v>40</v>
      </c>
      <c r="P18" s="24"/>
      <c r="Q18" s="24"/>
      <c r="T18" s="26"/>
    </row>
    <row r="19" spans="1:20">
      <c r="A19" s="75" t="s">
        <v>23</v>
      </c>
      <c r="B19" s="76"/>
      <c r="C19" s="79"/>
      <c r="D19" s="66">
        <f>(1652841-SUM(D11:D14)-1652841*0.33)/1335955.47</f>
        <v>0.82892186345208507</v>
      </c>
      <c r="E19" s="69"/>
      <c r="F19" s="67"/>
      <c r="G19" s="67"/>
      <c r="H19" s="67"/>
      <c r="I19" s="67"/>
      <c r="J19" s="69"/>
      <c r="K19" s="67"/>
      <c r="L19" s="67"/>
      <c r="M19" s="67"/>
      <c r="N19" s="67"/>
      <c r="O19" s="67"/>
      <c r="P19" s="24"/>
      <c r="Q19" s="24"/>
      <c r="T19" s="38"/>
    </row>
    <row r="20" spans="1:20">
      <c r="A20" s="122" t="s">
        <v>24</v>
      </c>
      <c r="B20" s="123" t="s">
        <v>13</v>
      </c>
      <c r="C20" s="123">
        <v>0.14926670943214121</v>
      </c>
      <c r="D20" s="124" t="s">
        <v>13</v>
      </c>
      <c r="E20" s="123">
        <v>6.2602206111601986E-4</v>
      </c>
      <c r="F20" s="123">
        <v>0.23969765321813519</v>
      </c>
      <c r="G20" s="123">
        <v>3.330170659542328E-2</v>
      </c>
      <c r="H20" s="124" t="s">
        <v>13</v>
      </c>
      <c r="I20" s="123" t="s">
        <v>13</v>
      </c>
      <c r="J20" s="122" t="s">
        <v>34</v>
      </c>
      <c r="K20" s="125">
        <v>7.2553241715241981E-2</v>
      </c>
      <c r="L20" s="125">
        <v>3.0475135060257653E-2</v>
      </c>
      <c r="M20" s="123">
        <v>5.9068542591251983E-3</v>
      </c>
      <c r="N20" s="123" t="s">
        <v>13</v>
      </c>
      <c r="O20" s="126" t="s">
        <v>40</v>
      </c>
      <c r="T20" s="26"/>
    </row>
    <row r="21" spans="1:20" ht="14.5" customHeight="1" thickBot="1">
      <c r="A21" s="119" t="s">
        <v>69</v>
      </c>
      <c r="B21" s="120">
        <v>0.88333210576710619</v>
      </c>
      <c r="C21" s="121">
        <f>SUM(C11:C20)</f>
        <v>0.92511431917560727</v>
      </c>
      <c r="D21" s="121">
        <f t="shared" ref="D21:G21" si="0">SUM(D11:D20)</f>
        <v>1.601240457274677</v>
      </c>
      <c r="E21" s="121">
        <f t="shared" si="0"/>
        <v>0.76591498834013372</v>
      </c>
      <c r="F21" s="121">
        <f t="shared" si="0"/>
        <v>0.89682475651882509</v>
      </c>
      <c r="G21" s="121">
        <f t="shared" si="0"/>
        <v>0.64831691655951029</v>
      </c>
      <c r="H21" s="121">
        <v>0.58577894473147407</v>
      </c>
      <c r="I21" s="121">
        <f>SUM(I11:I20)</f>
        <v>0.85488593437025295</v>
      </c>
      <c r="J21" s="121">
        <f t="shared" ref="J21" si="1">SUM(J11:J20)</f>
        <v>0.92172057368352034</v>
      </c>
      <c r="K21" s="121">
        <f t="shared" ref="K21" si="2">SUM(K11:K20)</f>
        <v>0.94609971973611628</v>
      </c>
      <c r="L21" s="121">
        <f t="shared" ref="L21" si="3">SUM(L11:L20)</f>
        <v>0.86377322999978134</v>
      </c>
      <c r="M21" s="121">
        <f t="shared" ref="M21" si="4">SUM(M11:M20)</f>
        <v>0.92613984101504176</v>
      </c>
      <c r="N21" s="121">
        <f t="shared" ref="N21" si="5">SUM(N11:N20)</f>
        <v>0.95678924501281981</v>
      </c>
      <c r="O21" s="121">
        <f t="shared" ref="O21" si="6">SUM(O11:O20)</f>
        <v>0.98494627283615321</v>
      </c>
      <c r="T21" s="26"/>
    </row>
    <row r="22" spans="1:20" ht="14.5" customHeight="1" thickTop="1">
      <c r="A22" s="30"/>
      <c r="B22" s="3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T22" s="26"/>
    </row>
    <row r="23" spans="1:20">
      <c r="A23" s="129" t="s">
        <v>28</v>
      </c>
      <c r="B23" s="130"/>
      <c r="C23" s="131"/>
      <c r="D23" s="131"/>
      <c r="E23" s="131"/>
      <c r="F23" s="131"/>
      <c r="G23" s="131"/>
      <c r="H23" s="131"/>
      <c r="I23" s="131"/>
      <c r="J23" s="132"/>
      <c r="K23" s="62"/>
      <c r="L23" s="62"/>
      <c r="M23" s="62"/>
      <c r="N23" s="62"/>
      <c r="O23" s="62"/>
      <c r="P23" s="60"/>
      <c r="Q23" s="35"/>
      <c r="R23" s="35"/>
      <c r="S23" s="35"/>
    </row>
    <row r="24" spans="1:20">
      <c r="A24" s="133" t="s">
        <v>39</v>
      </c>
      <c r="B24" s="127"/>
      <c r="C24" s="127"/>
      <c r="D24" s="127"/>
      <c r="E24" s="127"/>
      <c r="F24" s="127"/>
      <c r="G24" s="127"/>
      <c r="H24" s="127"/>
      <c r="I24" s="127"/>
      <c r="J24" s="134"/>
      <c r="K24" s="14"/>
      <c r="L24" s="14"/>
      <c r="M24" s="14"/>
      <c r="N24" s="14"/>
      <c r="O24" s="14"/>
    </row>
    <row r="25" spans="1:20">
      <c r="A25" s="135" t="s">
        <v>71</v>
      </c>
      <c r="B25" s="128"/>
      <c r="C25" s="128"/>
      <c r="D25" s="128"/>
      <c r="E25" s="128"/>
      <c r="F25" s="128"/>
      <c r="G25" s="128"/>
      <c r="H25" s="128"/>
      <c r="I25" s="128"/>
      <c r="J25" s="136"/>
    </row>
    <row r="26" spans="1:20">
      <c r="A26" s="135" t="s">
        <v>68</v>
      </c>
      <c r="B26" s="128"/>
      <c r="C26" s="128"/>
      <c r="D26" s="128"/>
      <c r="E26" s="128"/>
      <c r="F26" s="128"/>
      <c r="G26" s="128"/>
      <c r="H26" s="128"/>
      <c r="I26" s="128"/>
      <c r="J26" s="136"/>
    </row>
    <row r="27" spans="1:20">
      <c r="A27" s="135" t="s">
        <v>70</v>
      </c>
      <c r="B27" s="128"/>
      <c r="C27" s="128"/>
      <c r="D27" s="128"/>
      <c r="E27" s="128"/>
      <c r="F27" s="128"/>
      <c r="G27" s="128"/>
      <c r="H27" s="128"/>
      <c r="I27" s="128"/>
      <c r="J27" s="136"/>
    </row>
    <row r="28" spans="1:20">
      <c r="A28" s="137" t="s">
        <v>38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30" spans="1:20">
      <c r="A30" s="19"/>
      <c r="B30" s="1"/>
      <c r="C30" s="1"/>
      <c r="D30" s="1"/>
      <c r="E30" s="1"/>
      <c r="F30" s="1"/>
      <c r="G30" s="1"/>
      <c r="H30" s="89"/>
      <c r="I30" s="1"/>
      <c r="J30" s="1"/>
      <c r="K30" s="1"/>
      <c r="L30" s="1"/>
      <c r="M30" s="1"/>
      <c r="N30" s="1"/>
      <c r="O30" s="1"/>
    </row>
    <row r="31" spans="1:20">
      <c r="A31" s="20"/>
      <c r="B31" s="24"/>
      <c r="C31" s="24"/>
      <c r="D31" s="90"/>
      <c r="E31" s="24"/>
      <c r="F31" s="24"/>
      <c r="G31" s="24"/>
      <c r="H31" s="24"/>
      <c r="I31" s="24"/>
      <c r="J31" s="24"/>
      <c r="K31" s="1"/>
      <c r="L31" s="20"/>
      <c r="M31" s="20"/>
      <c r="N31" s="20"/>
      <c r="O31" s="24"/>
    </row>
    <row r="32" spans="1:20">
      <c r="A32" s="20"/>
      <c r="B32" s="24"/>
      <c r="C32" s="24"/>
      <c r="D32" s="91"/>
      <c r="E32" s="24"/>
      <c r="F32" s="91"/>
      <c r="G32" s="24"/>
      <c r="H32" s="92"/>
      <c r="I32" s="24"/>
      <c r="J32" s="24"/>
      <c r="K32" s="93"/>
      <c r="L32" s="20"/>
      <c r="M32" s="20"/>
      <c r="N32" s="20"/>
      <c r="O32" s="24"/>
    </row>
    <row r="33" spans="1:15">
      <c r="A33" s="20"/>
      <c r="B33" s="24"/>
      <c r="C33" s="24"/>
      <c r="D33" s="90"/>
      <c r="E33" s="24"/>
      <c r="F33" s="90"/>
      <c r="G33" s="24"/>
      <c r="H33" s="24"/>
      <c r="I33" s="24"/>
      <c r="J33" s="24"/>
      <c r="K33" s="1"/>
      <c r="L33" s="20"/>
      <c r="M33" s="20"/>
      <c r="N33" s="20"/>
      <c r="O33" s="24"/>
    </row>
    <row r="34" spans="1:15">
      <c r="A34" s="20"/>
      <c r="B34" s="24"/>
      <c r="C34" s="24"/>
      <c r="D34" s="90"/>
      <c r="E34" s="24"/>
      <c r="F34" s="94"/>
      <c r="G34" s="24"/>
      <c r="H34" s="24"/>
      <c r="I34" s="24"/>
      <c r="J34" s="24"/>
      <c r="K34" s="1"/>
      <c r="L34" s="20"/>
      <c r="M34" s="20"/>
      <c r="N34" s="20"/>
      <c r="O34" s="24"/>
    </row>
    <row r="35" spans="1:15">
      <c r="A35" s="20"/>
      <c r="B35" s="24"/>
      <c r="C35" s="24"/>
      <c r="D35" s="24"/>
      <c r="E35" s="24"/>
      <c r="F35" s="90"/>
      <c r="G35" s="24"/>
      <c r="H35" s="24"/>
      <c r="I35" s="24"/>
      <c r="J35" s="24"/>
      <c r="K35" s="1"/>
      <c r="L35" s="20"/>
      <c r="M35" s="20"/>
      <c r="N35" s="95"/>
      <c r="O35" s="24"/>
    </row>
    <row r="36" spans="1:15">
      <c r="A36" s="20"/>
      <c r="B36" s="24"/>
      <c r="C36" s="24"/>
      <c r="D36" s="24"/>
      <c r="E36" s="24"/>
      <c r="F36" s="90"/>
      <c r="G36" s="24"/>
      <c r="H36" s="24"/>
      <c r="I36" s="24"/>
      <c r="J36" s="24"/>
      <c r="K36" s="1"/>
      <c r="L36" s="20"/>
      <c r="M36" s="20"/>
      <c r="N36" s="20"/>
      <c r="O36" s="37"/>
    </row>
    <row r="37" spans="1:15">
      <c r="A37" s="20"/>
      <c r="B37" s="24"/>
      <c r="C37" s="24"/>
      <c r="D37" s="24"/>
      <c r="E37" s="24"/>
      <c r="F37" s="91"/>
      <c r="G37" s="24"/>
      <c r="H37" s="24"/>
      <c r="I37" s="24"/>
      <c r="J37" s="24"/>
      <c r="K37" s="1"/>
      <c r="L37" s="20"/>
      <c r="M37" s="20"/>
      <c r="N37" s="20"/>
      <c r="O37" s="96"/>
    </row>
    <row r="38" spans="1:15">
      <c r="A38" s="20"/>
      <c r="B38" s="94"/>
      <c r="C38" s="24"/>
      <c r="D38" s="24"/>
      <c r="E38" s="24"/>
      <c r="F38" s="94"/>
      <c r="G38" s="94"/>
      <c r="H38" s="94"/>
      <c r="I38" s="94"/>
      <c r="J38" s="24"/>
      <c r="K38" s="94"/>
      <c r="L38" s="94"/>
      <c r="M38" s="94"/>
      <c r="N38" s="94"/>
      <c r="O38" s="94"/>
    </row>
    <row r="39" spans="1:15">
      <c r="A39" s="20"/>
      <c r="B39" s="24"/>
      <c r="C39" s="24"/>
      <c r="D39" s="90"/>
      <c r="E39" s="24"/>
      <c r="F39" s="24"/>
      <c r="G39" s="24"/>
      <c r="H39" s="37"/>
      <c r="I39" s="24"/>
      <c r="J39" s="24"/>
      <c r="K39" s="29"/>
      <c r="L39" s="29"/>
      <c r="M39" s="20"/>
      <c r="N39" s="20"/>
      <c r="O39" s="1"/>
    </row>
    <row r="40" spans="1:15">
      <c r="A40" s="20"/>
      <c r="B40" s="24"/>
      <c r="C40" s="24"/>
      <c r="D40" s="24"/>
      <c r="E40" s="24"/>
      <c r="F40" s="24"/>
      <c r="G40" s="24"/>
      <c r="H40" s="24"/>
      <c r="I40" s="24"/>
      <c r="J40" s="20"/>
      <c r="K40" s="97"/>
      <c r="L40" s="97"/>
      <c r="M40" s="20"/>
      <c r="N40" s="24"/>
      <c r="O40" s="94"/>
    </row>
  </sheetData>
  <pageMargins left="0.7" right="0.7" top="0.75" bottom="0.75" header="0.3" footer="0.3"/>
  <pageSetup paperSize="9" orientation="portrait" horizontalDpi="360" verticalDpi="360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Absolute values</vt:lpstr>
      <vt:lpstr>Percentages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De-Paepe</dc:creator>
  <cp:lastModifiedBy>Andre</cp:lastModifiedBy>
  <dcterms:created xsi:type="dcterms:W3CDTF">2023-01-21T16:26:24Z</dcterms:created>
  <dcterms:modified xsi:type="dcterms:W3CDTF">2023-05-31T08:16:18Z</dcterms:modified>
</cp:coreProperties>
</file>