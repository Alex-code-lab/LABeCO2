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120" yWindow="0" windowWidth="25600" windowHeight="15540" activeTab="1"/>
  </bookViews>
  <sheets>
    <sheet name="README" sheetId="1" r:id="rId1"/>
    <sheet name="micro data " sheetId="2" r:id="rId2"/>
    <sheet name="secondary LCI data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I30" i="2"/>
  <c r="H30" i="2"/>
</calcChain>
</file>

<file path=xl/sharedStrings.xml><?xml version="1.0" encoding="utf-8"?>
<sst xmlns="http://schemas.openxmlformats.org/spreadsheetml/2006/main" count="330" uniqueCount="292">
  <si>
    <t>LCA results</t>
  </si>
  <si>
    <t>Authors</t>
  </si>
  <si>
    <t>Marianne De Paepe, Laurent Jeanneau, Jerôme Mariette, Olivier Aumont, André Estevez-Torres</t>
  </si>
  <si>
    <t>Date</t>
  </si>
  <si>
    <t>04 May 2023</t>
  </si>
  <si>
    <t xml:space="preserve">Citation </t>
  </si>
  <si>
    <r>
      <t xml:space="preserve">If you use values from this file, please cite: M. De Paepe, L. Jeanneau, J. Mariette, O. Aumont, A. Estevez-Torres,  </t>
    </r>
    <r>
      <rPr>
        <i/>
        <sz val="11"/>
        <color theme="1"/>
        <rFont val="Calibri"/>
        <scheme val="minor"/>
      </rPr>
      <t>Purchases dominate the carbon footprint of research laboratories,</t>
    </r>
    <r>
      <rPr>
        <sz val="11"/>
        <color theme="1"/>
        <rFont val="Calibri"/>
        <scheme val="minor"/>
      </rPr>
      <t xml:space="preserve"> Biorxiv 2023 (https://doi.org/10.1101/2023.04.04.535626 )</t>
    </r>
  </si>
  <si>
    <t>Description of spreadsheets</t>
  </si>
  <si>
    <t>micro data</t>
  </si>
  <si>
    <t>Results of the LCA of 62 laboratory products (physical and monetary footprints)</t>
  </si>
  <si>
    <t>secondary LCI data</t>
  </si>
  <si>
    <t>List of the emission factors used in the LCA</t>
  </si>
  <si>
    <t>Description of columns</t>
  </si>
  <si>
    <t>micro data spreasheet</t>
  </si>
  <si>
    <t>category</t>
  </si>
  <si>
    <t>Category of laboratory research product.</t>
  </si>
  <si>
    <t>nacres code</t>
  </si>
  <si>
    <t>Code identifying a good or services in the French research accounting system.</t>
  </si>
  <si>
    <t>product</t>
  </si>
  <si>
    <t>Laboratory item considered. Unless specified (for pipet tips), the values are given for a single item.</t>
  </si>
  <si>
    <t>product reference</t>
  </si>
  <si>
    <t>Reference of the product for the producer. The producer of gases is Air Liquide France Industrie (ALFI).</t>
  </si>
  <si>
    <t>carbon footprint per unit (kg CO2e)</t>
  </si>
  <si>
    <t>Carbon footprint of one unit of the product.</t>
  </si>
  <si>
    <t>% transportation</t>
  </si>
  <si>
    <t>Percentage of the downstream transportation in the carbon footprint of the product.</t>
  </si>
  <si>
    <t>monetary carbon footprint (kg CO2e/€)</t>
  </si>
  <si>
    <t>Monetary carbon footprint of one unit of the product, calculated as its carbon footprint divided by its price in euros.</t>
  </si>
  <si>
    <t>mean monetary CF (kg CO2e/€)</t>
  </si>
  <si>
    <t>Mean of the monetary carbon footprints of products of the same NACRES category. This value is used in column micro.ef.kg.co2e.per.euro in the nacres_fe_database.xlsx file.</t>
  </si>
  <si>
    <t>st dev monetary CF (kg CO2e/€)</t>
  </si>
  <si>
    <t>Standard deviation of the monetary carbon footprints of products of the same NACRES category.</t>
  </si>
  <si>
    <t>micro code</t>
  </si>
  <si>
    <t>Code of the microEF in the NACRES_FE_database.</t>
  </si>
  <si>
    <t>secondary LCI data spreadsheet</t>
  </si>
  <si>
    <t>product or process</t>
  </si>
  <si>
    <t>Product or process considered in the LCA.</t>
  </si>
  <si>
    <t xml:space="preserve">database or publication </t>
  </si>
  <si>
    <t>LCI database of publication used.</t>
  </si>
  <si>
    <t>EF name</t>
  </si>
  <si>
    <t>Name of the activity in the LCI database.</t>
  </si>
  <si>
    <t>adjustment</t>
  </si>
  <si>
    <t>Modification of secondary data following the indicated hypotheses.</t>
  </si>
  <si>
    <t>Sources</t>
  </si>
  <si>
    <t>Ecoinvent</t>
  </si>
  <si>
    <t>https://ecoinvent.org/</t>
  </si>
  <si>
    <t>GREET database</t>
  </si>
  <si>
    <t>https://greet.es.anl.gov/</t>
  </si>
  <si>
    <t>Agribalyse</t>
  </si>
  <si>
    <t>https://agribalyse.ademe.fr/</t>
  </si>
  <si>
    <t>Carbotainer study on the reduction of the carbon footprint in the use of pressure gas cylinders</t>
  </si>
  <si>
    <t>https://www.carbotainer.es/img/informe_tec_carbotainer300_2019.pdf</t>
  </si>
  <si>
    <t>Adom, F. material and energy flows in the production of macro and micronutrients, buffers, and chemicals used in biochemical processes for theproduction of fules and chemicals from biomass. Argonne University, 2015</t>
  </si>
  <si>
    <t>https://greet.es.anl.gov/files/fuel-chemicals-biomass</t>
  </si>
  <si>
    <t>Rizan et al. 2020</t>
  </si>
  <si>
    <t xml:space="preserve">Rizan, C. A.-O.et al Environmental Impact of Personal Protective Equipment Distributed for Use by Health and Social Care Services in England in the First Six Months of the Covid-19 Pandemic Journal of the Royal Society of Medicine 2021, 114 (1758-1095 (Electronic)), 250-263.
</t>
  </si>
  <si>
    <t xml:space="preserve">product </t>
  </si>
  <si>
    <t>mean</t>
  </si>
  <si>
    <t>gloves</t>
  </si>
  <si>
    <t>HA01</t>
  </si>
  <si>
    <t xml:space="preserve">latex glove </t>
  </si>
  <si>
    <t>Kimtech E330</t>
  </si>
  <si>
    <t>nd</t>
  </si>
  <si>
    <t>thin nitrile glove</t>
  </si>
  <si>
    <t>Shield Scientific 10623</t>
  </si>
  <si>
    <t>nitrile glove</t>
  </si>
  <si>
    <t>Shield Scientific 67 6233</t>
  </si>
  <si>
    <t>paper roll</t>
  </si>
  <si>
    <t>HA11</t>
  </si>
  <si>
    <t xml:space="preserve">paper roll- recycled </t>
  </si>
  <si>
    <t>MPH 01 cI2021 cP</t>
  </si>
  <si>
    <t>paper roll- recycled</t>
  </si>
  <si>
    <t>Lucart Eco 450 S</t>
  </si>
  <si>
    <t>paper roll - virgin</t>
  </si>
  <si>
    <t>Tork H0557715</t>
  </si>
  <si>
    <t>chemicals</t>
  </si>
  <si>
    <t>NA01</t>
  </si>
  <si>
    <t>ethyl acetate 5L</t>
  </si>
  <si>
    <t>Sigma 8222775000</t>
  </si>
  <si>
    <t>ethyl acetate 1L</t>
  </si>
  <si>
    <t>Sigma 100400010</t>
  </si>
  <si>
    <t>NA05</t>
  </si>
  <si>
    <t>ethanol 5L 96%</t>
  </si>
  <si>
    <t>VWR 20824.365</t>
  </si>
  <si>
    <t>ethanol 1L 99.6%</t>
  </si>
  <si>
    <t>VWR 20821.296</t>
  </si>
  <si>
    <t>broth</t>
  </si>
  <si>
    <t>NA74</t>
  </si>
  <si>
    <t>LB broth (500 g)</t>
  </si>
  <si>
    <t>BD 244620</t>
  </si>
  <si>
    <t>single-use plastics</t>
  </si>
  <si>
    <t>NB02</t>
  </si>
  <si>
    <t>micropipette tips in refill (96)</t>
  </si>
  <si>
    <t>Fisher Scientific 11817832</t>
  </si>
  <si>
    <t>micropipette tips in racks (96)</t>
  </si>
  <si>
    <t>Clearline 7683</t>
  </si>
  <si>
    <t>micropipette tips in refill #2 (96)</t>
  </si>
  <si>
    <t>Starlab S1111-1706</t>
  </si>
  <si>
    <t>NB04</t>
  </si>
  <si>
    <t>pipette 2 ml</t>
  </si>
  <si>
    <t>GREINER BIO ONE 760180</t>
  </si>
  <si>
    <t>pipette 10 ml</t>
  </si>
  <si>
    <t>GREINER BIO ONE 607180</t>
  </si>
  <si>
    <t>pipette 20 ml</t>
  </si>
  <si>
    <t xml:space="preserve">GREINER BIO ONE 710180 </t>
  </si>
  <si>
    <t>NB11</t>
  </si>
  <si>
    <t>14 ml culture tube</t>
  </si>
  <si>
    <t>SARSTEDT 62515006</t>
  </si>
  <si>
    <t>15 ml culture tube</t>
  </si>
  <si>
    <t>Corning 430157</t>
  </si>
  <si>
    <t>15 ml centrifugation tube</t>
  </si>
  <si>
    <t>SARSTEDT 62554502</t>
  </si>
  <si>
    <t>50 ml centrifugation tube</t>
  </si>
  <si>
    <t>SARSTEDT 62547254</t>
  </si>
  <si>
    <t>2 ml microtube</t>
  </si>
  <si>
    <t>Eppendorf 30120094</t>
  </si>
  <si>
    <t>1.7 ml microtube</t>
  </si>
  <si>
    <t>Sorenson 37840</t>
  </si>
  <si>
    <t>NB14</t>
  </si>
  <si>
    <t>96-well plate</t>
  </si>
  <si>
    <t>Greiner 655180</t>
  </si>
  <si>
    <t>round Petri dish</t>
  </si>
  <si>
    <t>Greiner 633180</t>
  </si>
  <si>
    <t>rectangular Petri dish</t>
  </si>
  <si>
    <t xml:space="preserve">Greiner 688102 </t>
  </si>
  <si>
    <t>inoculator</t>
  </si>
  <si>
    <t>Nunc 055257</t>
  </si>
  <si>
    <t>glassware</t>
  </si>
  <si>
    <t>NB05</t>
  </si>
  <si>
    <t>pipette 5 ml</t>
  </si>
  <si>
    <t>ThermoScientific 7079-5N/ 98726</t>
  </si>
  <si>
    <t>ThermoScientific 7079-10N / 98729</t>
  </si>
  <si>
    <t>LABBOX MPIA-020-005</t>
  </si>
  <si>
    <t>NB43</t>
  </si>
  <si>
    <t>glass tube 23 ml</t>
  </si>
  <si>
    <t>DWK 1622/14M</t>
  </si>
  <si>
    <t xml:space="preserve">glass bottle 500 ml </t>
  </si>
  <si>
    <t>DWK 1516/08D</t>
  </si>
  <si>
    <t>glass 1L culture flask</t>
  </si>
  <si>
    <t>DWK 1130/26D</t>
  </si>
  <si>
    <t>Gas cylinders (Air Liquid references)</t>
  </si>
  <si>
    <t>GA01</t>
  </si>
  <si>
    <t>acetylen, 42 L</t>
  </si>
  <si>
    <t>I1901L42R0A001</t>
  </si>
  <si>
    <t>acetylen, 21 L</t>
  </si>
  <si>
    <t>I1901L21R0A001</t>
  </si>
  <si>
    <t>GA03</t>
  </si>
  <si>
    <t>argon, L50</t>
  </si>
  <si>
    <t>I2001L50R2A001</t>
  </si>
  <si>
    <t>argon, M20</t>
  </si>
  <si>
    <t>I2001M20R2A001</t>
  </si>
  <si>
    <t>GA04</t>
  </si>
  <si>
    <t>nitrogen, L50</t>
  </si>
  <si>
    <t>I4001L50R2A001</t>
  </si>
  <si>
    <t>nitrogen, M20</t>
  </si>
  <si>
    <t>I4050M20R2A001</t>
  </si>
  <si>
    <t>GA05</t>
  </si>
  <si>
    <t>carbon dioxyde, L50</t>
  </si>
  <si>
    <t>I5100K03R0A001</t>
  </si>
  <si>
    <t>carbon dioxyde, M20</t>
  </si>
  <si>
    <t>I5100M14R0A001</t>
  </si>
  <si>
    <t>GA06</t>
  </si>
  <si>
    <t>helium, L50</t>
  </si>
  <si>
    <t>I6010L47R7A001</t>
  </si>
  <si>
    <t>helium, M20</t>
  </si>
  <si>
    <t>I6010M14R2A001</t>
  </si>
  <si>
    <t>GA07</t>
  </si>
  <si>
    <t>hydrogen, L50</t>
  </si>
  <si>
    <t>I7001L50R2A001</t>
  </si>
  <si>
    <t>GA08</t>
  </si>
  <si>
    <t>oxygen, L50</t>
  </si>
  <si>
    <t>I1001L50R2A001</t>
  </si>
  <si>
    <t>oxygen, M20</t>
  </si>
  <si>
    <t>I1001M20R2A001</t>
  </si>
  <si>
    <t>GA11</t>
  </si>
  <si>
    <t>high-purity argon, L50</t>
  </si>
  <si>
    <t>P0021L50S2A001</t>
  </si>
  <si>
    <t>high-purity argon, M20</t>
  </si>
  <si>
    <t>P0021M20S2A001</t>
  </si>
  <si>
    <t>GA12</t>
  </si>
  <si>
    <t>high-purity nitrogen, L50</t>
  </si>
  <si>
    <t>P0271L50S2A001</t>
  </si>
  <si>
    <t>high-purity nitrogen, M20</t>
  </si>
  <si>
    <t>P0271M20S2A001</t>
  </si>
  <si>
    <t>GA13</t>
  </si>
  <si>
    <t>high-purity carbon dioxyde, L50</t>
  </si>
  <si>
    <t>P0762L50R0A001</t>
  </si>
  <si>
    <t>high-purity carbon dioxyde, M20</t>
  </si>
  <si>
    <t>P0762M20R0A001</t>
  </si>
  <si>
    <t>GA14</t>
  </si>
  <si>
    <t>high-purity xenon, 1L</t>
  </si>
  <si>
    <t>P0980S01R0A001</t>
  </si>
  <si>
    <t>GA15</t>
  </si>
  <si>
    <t>high-purity helium, L50</t>
  </si>
  <si>
    <t>P0251L50S2A001</t>
  </si>
  <si>
    <t>high-purity helium, M20</t>
  </si>
  <si>
    <t>P0251M20S2A001</t>
  </si>
  <si>
    <t>GA17</t>
  </si>
  <si>
    <t>high-purity hydrogen, L50</t>
  </si>
  <si>
    <t>P0231L50S2A001</t>
  </si>
  <si>
    <t>high-purity hydrogen, M20</t>
  </si>
  <si>
    <t>P0231M20S2A001</t>
  </si>
  <si>
    <t>GA18</t>
  </si>
  <si>
    <t>high-purity oxygen, L50</t>
  </si>
  <si>
    <t>P0361L50S2A001</t>
  </si>
  <si>
    <t>high-purity oxygen, M20</t>
  </si>
  <si>
    <t>P0361M20R2A001</t>
  </si>
  <si>
    <t>gas in bulk</t>
  </si>
  <si>
    <t>GA51</t>
  </si>
  <si>
    <t>liquid nitrogen (1 kg)</t>
  </si>
  <si>
    <t xml:space="preserve">ALFI contract INRAE Jouy-en-Josas </t>
  </si>
  <si>
    <t>GA52</t>
  </si>
  <si>
    <t>liquid helium (1 kg)</t>
  </si>
  <si>
    <t>University Paul Sabatier Toulouse (internal service)</t>
  </si>
  <si>
    <t>GA55</t>
  </si>
  <si>
    <t>dry ice (1 kg)</t>
  </si>
  <si>
    <t>activity name</t>
  </si>
  <si>
    <t>acetylene</t>
  </si>
  <si>
    <t>Ecoinvent v3.8*</t>
  </si>
  <si>
    <t>acetylene production, RER</t>
  </si>
  <si>
    <t>gaz compression</t>
  </si>
  <si>
    <t>market for compressed air, 600 to 1200 kPa gauge</t>
  </si>
  <si>
    <t>extrapolation to the appropriate pressure with an assumption of log relationship between emissions and pressure</t>
  </si>
  <si>
    <t>argon, gas</t>
  </si>
  <si>
    <t>market for argon, liquid, RER (99.999%)</t>
  </si>
  <si>
    <t>borosilicate glass ware</t>
  </si>
  <si>
    <t>glass tube production, borosilicate, DE</t>
  </si>
  <si>
    <t>brown glass bottle</t>
  </si>
  <si>
    <t>market for packaging glass production, brown, without cullet</t>
  </si>
  <si>
    <t>carbon dioxyde, gas</t>
  </si>
  <si>
    <t>market for carbon dioxide, liquid (99.7%)</t>
  </si>
  <si>
    <t>dry ice</t>
  </si>
  <si>
    <t xml:space="preserve">market for carbon dioxide, liquid </t>
  </si>
  <si>
    <r>
      <t>x 2 (as 50% of CO</t>
    </r>
    <r>
      <rPr>
        <vertAlign val="subscript"/>
        <sz val="9.9"/>
        <color theme="1"/>
        <rFont val="Calibri"/>
      </rPr>
      <t>2</t>
    </r>
    <r>
      <rPr>
        <sz val="11"/>
        <color theme="1"/>
        <rFont val="Calibri"/>
        <scheme val="minor"/>
      </rPr>
      <t xml:space="preserve"> is lost during condensation)</t>
    </r>
  </si>
  <si>
    <t xml:space="preserve">ethanol 96% </t>
  </si>
  <si>
    <t>market for ethanol, without water, in 95% solution state, from fermentation</t>
  </si>
  <si>
    <t xml:space="preserve">ethanol 99.6% </t>
  </si>
  <si>
    <t>market for ethanol, without water, in 99.7% solution state, from fermentation</t>
  </si>
  <si>
    <t>ethyl acetate</t>
  </si>
  <si>
    <t>market for ethyl acetate, GLO</t>
  </si>
  <si>
    <t>gas cylinder</t>
  </si>
  <si>
    <t>Carbotainer</t>
  </si>
  <si>
    <t>B50 steel cylinder</t>
  </si>
  <si>
    <t>helium, gas</t>
  </si>
  <si>
    <t>market for helium, crude, GLO (97.5%)</t>
  </si>
  <si>
    <t>high-purity carbon dioxyde, gas</t>
  </si>
  <si>
    <t xml:space="preserve">market for carbon dioxide, liquid, RER </t>
  </si>
  <si>
    <t>x (fold increase between high-purity helium and helium)</t>
  </si>
  <si>
    <t>high-purity helium, gas</t>
  </si>
  <si>
    <t>market for helium, GLO (99.995%)</t>
  </si>
  <si>
    <t>hydrogen, gas</t>
  </si>
  <si>
    <t>GREET database 2019</t>
  </si>
  <si>
    <t xml:space="preserve">hydrogen </t>
  </si>
  <si>
    <t>injection moulding</t>
  </si>
  <si>
    <t>maket for injection moulding, GLO</t>
  </si>
  <si>
    <t>liquid helium</t>
  </si>
  <si>
    <t>liquid nitrogen</t>
  </si>
  <si>
    <t>market for nitrogen, liquid, RER</t>
  </si>
  <si>
    <t>nitrile gloves</t>
  </si>
  <si>
    <t>Rizan et al. 2021</t>
  </si>
  <si>
    <t>nitrogen, gas</t>
  </si>
  <si>
    <t>market for nitrogen, liquid, RER (99.9995 wt-%)</t>
  </si>
  <si>
    <t>oxygen, gas</t>
  </si>
  <si>
    <t>market for oxygen, liquid (99.6 wt-%)</t>
  </si>
  <si>
    <t>polyethylene bottle</t>
  </si>
  <si>
    <t>market for polyethylene, high density, granulate, GLO</t>
  </si>
  <si>
    <t>polypropylene, US</t>
  </si>
  <si>
    <t>market for polypropylene, granulate, GLO</t>
  </si>
  <si>
    <t>polypropylene, Europe</t>
  </si>
  <si>
    <t>polypropylene production, granulate, RER</t>
  </si>
  <si>
    <t>polystyrene</t>
  </si>
  <si>
    <t>market for polystyrene, general purpose, GLO</t>
  </si>
  <si>
    <t>sodium chloride</t>
  </si>
  <si>
    <t>market for sodium chloride, powder, GLO</t>
  </si>
  <si>
    <t>tissue paper</t>
  </si>
  <si>
    <t>tissue paper production, RER</t>
  </si>
  <si>
    <t>transport by road</t>
  </si>
  <si>
    <t>market for transport, freight, lorry 16-32 metric ton, EURO6, RER</t>
  </si>
  <si>
    <t>market for transport, freight, lorry 16-32 metric ton, EURO6, RoW</t>
  </si>
  <si>
    <t>transport by sea</t>
  </si>
  <si>
    <t>market for transport, freight, sea, container ship, GLO</t>
  </si>
  <si>
    <t>tryptone (milk casein hydrolysate)</t>
  </si>
  <si>
    <t>EF of milk powder</t>
  </si>
  <si>
    <t>xenon, gas</t>
  </si>
  <si>
    <t>market for xenon, gaseous, RER</t>
  </si>
  <si>
    <t>yeast extract</t>
  </si>
  <si>
    <t>Adom, F. Argonne University, 2015</t>
  </si>
  <si>
    <t>*: IPCC 2013, GWP100 Ecoinvent values</t>
  </si>
  <si>
    <t>Version of the dataset</t>
  </si>
  <si>
    <t>Name of the dataset</t>
  </si>
  <si>
    <t>v1.0-2023</t>
  </si>
  <si>
    <t>PER1p5_LCA_results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</si>
</sst>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b/>
      <sz val="11"/>
      <color theme="1"/>
      <name val="Calibri"/>
      <scheme val="minor"/>
    </font>
    <font>
      <b/>
      <sz val="14"/>
      <color theme="1"/>
      <name val="Calibri"/>
      <scheme val="minor"/>
    </font>
    <font>
      <sz val="11"/>
      <name val="Calibri"/>
      <scheme val="minor"/>
    </font>
    <font>
      <sz val="11"/>
      <color theme="1"/>
      <name val="Calibri"/>
      <scheme val="minor"/>
    </font>
    <font>
      <i/>
      <sz val="11"/>
      <color theme="1"/>
      <name val="Calibri"/>
      <scheme val="minor"/>
    </font>
    <font>
      <vertAlign val="subscript"/>
      <sz val="9.9"/>
      <color theme="1"/>
      <name val="Calibri"/>
    </font>
    <font>
      <u/>
      <sz val="11"/>
      <color theme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/>
      </right>
      <top/>
      <bottom/>
      <diagonal/>
    </border>
    <border>
      <left/>
      <right style="thin">
        <color theme="1" tint="0.499984740745262"/>
      </right>
      <top/>
      <bottom style="thin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/>
      </bottom>
      <diagonal/>
    </border>
    <border>
      <left style="thin">
        <color theme="1" tint="0.499984740745262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 tint="0.499984740745262"/>
      </right>
      <top style="thin">
        <color theme="1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1"/>
      </bottom>
      <diagonal/>
    </border>
    <border>
      <left style="thin">
        <color theme="1" tint="0.499984740745262"/>
      </left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 tint="0.499984740745262"/>
      </left>
      <right/>
      <top style="thin">
        <color theme="1"/>
      </top>
      <bottom/>
      <diagonal/>
    </border>
    <border>
      <left style="thin">
        <color theme="1" tint="0.499984740745262"/>
      </left>
      <right/>
      <top style="thin">
        <color theme="0"/>
      </top>
      <bottom style="thin">
        <color theme="1"/>
      </bottom>
      <diagonal/>
    </border>
    <border>
      <left/>
      <right style="thin">
        <color theme="1" tint="0.499984740745262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/>
      </top>
      <bottom style="thin">
        <color theme="1"/>
      </bottom>
      <diagonal/>
    </border>
    <border>
      <left style="thin">
        <color theme="1" tint="0.499984740745262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 style="thin">
        <color theme="1" tint="0.499984740745262"/>
      </left>
      <right/>
      <top style="thin">
        <color theme="1"/>
      </top>
      <bottom style="thin">
        <color theme="0"/>
      </bottom>
      <diagonal/>
    </border>
  </borders>
  <cellStyleXfs count="25">
    <xf numFmtId="0" fontId="0" fillId="0" borderId="0"/>
    <xf numFmtId="0" fontId="1" fillId="0" borderId="0" applyNumberFormat="0" applyFill="0" applyBorder="0"/>
    <xf numFmtId="9" fontId="5" fillId="0" borderId="0" applyFont="0" applyFill="0" applyBorder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0" fillId="0" borderId="1" xfId="0" applyNumberFormat="1" applyBorder="1"/>
    <xf numFmtId="49" fontId="2" fillId="0" borderId="0" xfId="0" applyNumberFormat="1" applyFont="1" applyAlignment="1">
      <alignment horizontal="left" vertical="top"/>
    </xf>
    <xf numFmtId="0" fontId="2" fillId="0" borderId="2" xfId="0" applyFont="1" applyBorder="1" applyAlignment="1">
      <alignment vertical="center"/>
    </xf>
    <xf numFmtId="2" fontId="2" fillId="0" borderId="0" xfId="0" applyNumberFormat="1" applyFont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2" fillId="0" borderId="0" xfId="0" applyFont="1"/>
    <xf numFmtId="49" fontId="0" fillId="0" borderId="1" xfId="0" applyNumberFormat="1" applyBorder="1" applyAlignment="1">
      <alignment horizontal="left"/>
    </xf>
    <xf numFmtId="49" fontId="2" fillId="0" borderId="0" xfId="0" applyNumberFormat="1" applyFont="1" applyAlignment="1">
      <alignment wrapText="1"/>
    </xf>
    <xf numFmtId="49" fontId="1" fillId="0" borderId="0" xfId="1" applyNumberFormat="1" applyFont="1"/>
    <xf numFmtId="0" fontId="1" fillId="0" borderId="0" xfId="1" applyFont="1"/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4" xfId="0" applyBorder="1"/>
    <xf numFmtId="164" fontId="0" fillId="0" borderId="4" xfId="0" applyNumberFormat="1" applyBorder="1" applyAlignment="1">
      <alignment horizontal="right"/>
    </xf>
    <xf numFmtId="0" fontId="0" fillId="0" borderId="0" xfId="0"/>
    <xf numFmtId="0" fontId="0" fillId="0" borderId="10" xfId="0" applyBorder="1"/>
    <xf numFmtId="0" fontId="0" fillId="0" borderId="12" xfId="0" applyBorder="1"/>
    <xf numFmtId="0" fontId="0" fillId="0" borderId="7" xfId="0" applyBorder="1"/>
    <xf numFmtId="164" fontId="0" fillId="0" borderId="1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0" fontId="0" fillId="0" borderId="1" xfId="0" applyBorder="1"/>
    <xf numFmtId="9" fontId="0" fillId="0" borderId="4" xfId="2" applyNumberFormat="1" applyFont="1" applyBorder="1" applyAlignment="1">
      <alignment horizontal="right"/>
    </xf>
    <xf numFmtId="2" fontId="0" fillId="0" borderId="0" xfId="0" applyNumberFormat="1"/>
    <xf numFmtId="2" fontId="0" fillId="0" borderId="1" xfId="0" applyNumberFormat="1" applyBorder="1" applyAlignment="1">
      <alignment horizontal="right"/>
    </xf>
    <xf numFmtId="9" fontId="0" fillId="0" borderId="7" xfId="2" applyNumberFormat="1" applyFont="1" applyBorder="1" applyAlignment="1">
      <alignment horizontal="right"/>
    </xf>
    <xf numFmtId="0" fontId="0" fillId="0" borderId="14" xfId="0" applyBorder="1"/>
    <xf numFmtId="0" fontId="0" fillId="0" borderId="15" xfId="0" applyBorder="1"/>
    <xf numFmtId="2" fontId="0" fillId="0" borderId="16" xfId="0" applyNumberFormat="1" applyBorder="1" applyAlignment="1">
      <alignment horizontal="right"/>
    </xf>
    <xf numFmtId="0" fontId="0" fillId="0" borderId="16" xfId="0" applyBorder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2" fontId="0" fillId="0" borderId="20" xfId="0" applyNumberFormat="1" applyBorder="1" applyAlignment="1">
      <alignment horizontal="right"/>
    </xf>
    <xf numFmtId="9" fontId="0" fillId="0" borderId="21" xfId="2" applyNumberFormat="1" applyFont="1" applyBorder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9" fontId="0" fillId="0" borderId="4" xfId="2" applyNumberFormat="1" applyFont="1" applyBorder="1" applyAlignment="1">
      <alignment horizontal="right" vertical="center"/>
    </xf>
    <xf numFmtId="0" fontId="0" fillId="0" borderId="23" xfId="0" applyBorder="1"/>
    <xf numFmtId="2" fontId="0" fillId="0" borderId="1" xfId="0" applyNumberFormat="1" applyBorder="1" applyAlignment="1">
      <alignment horizontal="right" vertical="center"/>
    </xf>
    <xf numFmtId="9" fontId="0" fillId="0" borderId="7" xfId="2" applyNumberFormat="1" applyFont="1" applyBorder="1" applyAlignment="1">
      <alignment horizontal="right" vertical="center"/>
    </xf>
    <xf numFmtId="9" fontId="0" fillId="0" borderId="4" xfId="0" applyNumberFormat="1" applyBorder="1" applyAlignment="1">
      <alignment horizontal="right"/>
    </xf>
    <xf numFmtId="9" fontId="0" fillId="0" borderId="7" xfId="0" applyNumberFormat="1" applyBorder="1" applyAlignment="1">
      <alignment horizontal="right"/>
    </xf>
    <xf numFmtId="2" fontId="0" fillId="0" borderId="1" xfId="0" applyNumberFormat="1" applyBorder="1"/>
    <xf numFmtId="9" fontId="0" fillId="0" borderId="15" xfId="0" applyNumberFormat="1" applyBorder="1" applyAlignment="1">
      <alignment horizontal="right"/>
    </xf>
    <xf numFmtId="2" fontId="0" fillId="0" borderId="16" xfId="0" applyNumberFormat="1" applyBorder="1"/>
    <xf numFmtId="9" fontId="0" fillId="0" borderId="21" xfId="0" applyNumberFormat="1" applyBorder="1" applyAlignment="1">
      <alignment horizontal="right"/>
    </xf>
    <xf numFmtId="164" fontId="0" fillId="0" borderId="16" xfId="0" applyNumberFormat="1" applyBorder="1" applyAlignment="1">
      <alignment horizontal="right"/>
    </xf>
    <xf numFmtId="0" fontId="2" fillId="0" borderId="1" xfId="0" applyFont="1" applyBorder="1"/>
    <xf numFmtId="49" fontId="2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4" fillId="0" borderId="0" xfId="0" applyFont="1"/>
    <xf numFmtId="0" fontId="0" fillId="0" borderId="9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0" fillId="2" borderId="2" xfId="0" applyFill="1" applyBorder="1"/>
    <xf numFmtId="0" fontId="0" fillId="2" borderId="11" xfId="0" applyFill="1" applyBorder="1"/>
    <xf numFmtId="0" fontId="0" fillId="2" borderId="13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22" xfId="0" applyFill="1" applyBorder="1"/>
    <xf numFmtId="2" fontId="0" fillId="2" borderId="24" xfId="0" applyNumberFormat="1" applyFill="1" applyBorder="1"/>
    <xf numFmtId="0" fontId="0" fillId="2" borderId="24" xfId="0" applyFill="1" applyBorder="1"/>
  </cellXfs>
  <cellStyles count="25"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rbotainer.es/img/informe_tec_carbotainer300_2019.pdf" TargetMode="External"/><Relationship Id="rId2" Type="http://schemas.openxmlformats.org/officeDocument/2006/relationships/hyperlink" Target="https://greet.es.anl.gov/files/fuel-chemicals-bioma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selection activeCell="B6" sqref="B6"/>
    </sheetView>
  </sheetViews>
  <sheetFormatPr baseColWidth="10" defaultColWidth="10.83203125" defaultRowHeight="14" x14ac:dyDescent="0"/>
  <cols>
    <col min="1" max="1" width="35.83203125" style="2" bestFit="1" customWidth="1"/>
    <col min="2" max="2" width="10.83203125" style="1" bestFit="1"/>
    <col min="3" max="16384" width="10.83203125" style="1"/>
  </cols>
  <sheetData>
    <row r="1" spans="1:2" ht="18">
      <c r="A1" s="3" t="s">
        <v>0</v>
      </c>
    </row>
    <row r="2" spans="1:2">
      <c r="A2" s="4"/>
    </row>
    <row r="3" spans="1:2">
      <c r="A3" s="4" t="s">
        <v>1</v>
      </c>
      <c r="B3" s="1" t="s">
        <v>2</v>
      </c>
    </row>
    <row r="4" spans="1:2">
      <c r="A4" s="4" t="s">
        <v>3</v>
      </c>
      <c r="B4" s="1" t="s">
        <v>4</v>
      </c>
    </row>
    <row r="5" spans="1:2">
      <c r="A5" s="4" t="s">
        <v>288</v>
      </c>
      <c r="B5" s="1" t="s">
        <v>290</v>
      </c>
    </row>
    <row r="6" spans="1:2">
      <c r="A6" s="4" t="s">
        <v>289</v>
      </c>
      <c r="B6" s="1" t="s">
        <v>291</v>
      </c>
    </row>
    <row r="7" spans="1:2">
      <c r="A7" s="4"/>
    </row>
    <row r="8" spans="1:2">
      <c r="A8" s="4" t="s">
        <v>5</v>
      </c>
    </row>
    <row r="9" spans="1:2">
      <c r="A9" s="2" t="s">
        <v>6</v>
      </c>
    </row>
    <row r="11" spans="1:2">
      <c r="A11" s="4" t="s">
        <v>7</v>
      </c>
    </row>
    <row r="12" spans="1:2">
      <c r="A12" s="2" t="s">
        <v>8</v>
      </c>
      <c r="B12" s="1" t="s">
        <v>9</v>
      </c>
    </row>
    <row r="13" spans="1:2">
      <c r="A13" s="2" t="s">
        <v>10</v>
      </c>
      <c r="B13" s="1" t="s">
        <v>11</v>
      </c>
    </row>
    <row r="15" spans="1:2">
      <c r="A15" s="4" t="s">
        <v>12</v>
      </c>
    </row>
    <row r="16" spans="1:2">
      <c r="A16" s="5" t="s">
        <v>13</v>
      </c>
    </row>
    <row r="17" spans="1:2">
      <c r="A17" s="4" t="s">
        <v>14</v>
      </c>
      <c r="B17" s="1" t="s">
        <v>15</v>
      </c>
    </row>
    <row r="18" spans="1:2">
      <c r="A18" s="6" t="s">
        <v>16</v>
      </c>
      <c r="B18" s="1" t="s">
        <v>17</v>
      </c>
    </row>
    <row r="19" spans="1:2">
      <c r="A19" s="7" t="s">
        <v>18</v>
      </c>
      <c r="B19" s="1" t="s">
        <v>19</v>
      </c>
    </row>
    <row r="20" spans="1:2">
      <c r="A20" s="7" t="s">
        <v>20</v>
      </c>
      <c r="B20" s="1" t="s">
        <v>21</v>
      </c>
    </row>
    <row r="21" spans="1:2" ht="14.5" customHeight="1">
      <c r="A21" s="8" t="s">
        <v>22</v>
      </c>
      <c r="B21" s="1" t="s">
        <v>23</v>
      </c>
    </row>
    <row r="22" spans="1:2">
      <c r="A22" s="9" t="s">
        <v>24</v>
      </c>
      <c r="B22" s="1" t="s">
        <v>25</v>
      </c>
    </row>
    <row r="23" spans="1:2" ht="14.5" customHeight="1">
      <c r="A23" s="10" t="s">
        <v>26</v>
      </c>
      <c r="B23" s="1" t="s">
        <v>27</v>
      </c>
    </row>
    <row r="24" spans="1:2">
      <c r="A24" s="11" t="s">
        <v>28</v>
      </c>
      <c r="B24" s="1" t="s">
        <v>29</v>
      </c>
    </row>
    <row r="25" spans="1:2">
      <c r="A25" s="11" t="s">
        <v>30</v>
      </c>
      <c r="B25" s="1" t="s">
        <v>31</v>
      </c>
    </row>
    <row r="26" spans="1:2">
      <c r="A26" s="4" t="s">
        <v>32</v>
      </c>
      <c r="B26" s="1" t="s">
        <v>33</v>
      </c>
    </row>
    <row r="28" spans="1:2">
      <c r="A28" s="12" t="s">
        <v>34</v>
      </c>
    </row>
    <row r="29" spans="1:2">
      <c r="A29" s="11" t="s">
        <v>35</v>
      </c>
      <c r="B29" s="1" t="s">
        <v>36</v>
      </c>
    </row>
    <row r="30" spans="1:2">
      <c r="A30" s="11" t="s">
        <v>37</v>
      </c>
      <c r="B30" s="1" t="s">
        <v>38</v>
      </c>
    </row>
    <row r="31" spans="1:2">
      <c r="A31" s="13" t="s">
        <v>39</v>
      </c>
      <c r="B31" s="1" t="s">
        <v>40</v>
      </c>
    </row>
    <row r="32" spans="1:2">
      <c r="A32" s="11" t="s">
        <v>41</v>
      </c>
      <c r="B32" s="1" t="s">
        <v>42</v>
      </c>
    </row>
    <row r="34" spans="1:2">
      <c r="A34" s="4" t="s">
        <v>43</v>
      </c>
    </row>
    <row r="35" spans="1:2">
      <c r="A35" s="2" t="s">
        <v>44</v>
      </c>
      <c r="B35" s="1" t="s">
        <v>45</v>
      </c>
    </row>
    <row r="36" spans="1:2">
      <c r="A36" s="2" t="s">
        <v>46</v>
      </c>
      <c r="B36" s="1" t="s">
        <v>47</v>
      </c>
    </row>
    <row r="37" spans="1:2">
      <c r="A37" s="2" t="s">
        <v>48</v>
      </c>
      <c r="B37" s="1" t="s">
        <v>49</v>
      </c>
    </row>
    <row r="38" spans="1:2">
      <c r="A38" s="2" t="s">
        <v>50</v>
      </c>
      <c r="B38" s="14" t="s">
        <v>51</v>
      </c>
    </row>
    <row r="39" spans="1:2">
      <c r="A39" t="s">
        <v>52</v>
      </c>
      <c r="B39" s="15" t="s">
        <v>53</v>
      </c>
    </row>
    <row r="40" spans="1:2">
      <c r="A40" s="2" t="s">
        <v>54</v>
      </c>
      <c r="B40" s="1" t="s">
        <v>55</v>
      </c>
    </row>
  </sheetData>
  <hyperlinks>
    <hyperlink ref="B38" r:id="rId1"/>
    <hyperlink ref="B39" r:id="rId2"/>
  </hyperlink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abSelected="1" workbookViewId="0">
      <selection activeCell="G44" sqref="G44"/>
    </sheetView>
  </sheetViews>
  <sheetFormatPr baseColWidth="10" defaultRowHeight="14" x14ac:dyDescent="0"/>
  <cols>
    <col min="3" max="3" width="26.33203125" bestFit="1" customWidth="1"/>
    <col min="4" max="4" width="25.83203125" bestFit="1" customWidth="1"/>
    <col min="5" max="5" width="18.5" style="16" bestFit="1" customWidth="1"/>
    <col min="6" max="6" width="15.6640625" style="17" bestFit="1" customWidth="1"/>
    <col min="7" max="7" width="15.1640625" bestFit="1" customWidth="1"/>
    <col min="8" max="8" width="12.83203125" bestFit="1" customWidth="1"/>
    <col min="10" max="10" width="10.83203125" style="18" bestFit="1"/>
  </cols>
  <sheetData>
    <row r="1" spans="1:11" ht="14.5" customHeight="1">
      <c r="A1" s="72" t="s">
        <v>14</v>
      </c>
      <c r="B1" s="71" t="s">
        <v>16</v>
      </c>
      <c r="C1" s="75" t="s">
        <v>56</v>
      </c>
      <c r="D1" s="75" t="s">
        <v>20</v>
      </c>
      <c r="E1" s="77" t="s">
        <v>22</v>
      </c>
      <c r="F1" s="65" t="s">
        <v>24</v>
      </c>
      <c r="G1" s="67" t="s">
        <v>26</v>
      </c>
      <c r="H1" s="69" t="s">
        <v>28</v>
      </c>
      <c r="I1" s="69" t="s">
        <v>30</v>
      </c>
      <c r="J1" s="71"/>
    </row>
    <row r="2" spans="1:11" ht="27" customHeight="1">
      <c r="A2" s="73"/>
      <c r="B2" s="74"/>
      <c r="C2" s="76"/>
      <c r="D2" s="76"/>
      <c r="E2" s="78"/>
      <c r="F2" s="66"/>
      <c r="G2" s="68"/>
      <c r="H2" s="70" t="s">
        <v>57</v>
      </c>
      <c r="I2" s="70" t="s">
        <v>57</v>
      </c>
      <c r="J2" s="71"/>
    </row>
    <row r="3" spans="1:11">
      <c r="A3" s="62" t="s">
        <v>58</v>
      </c>
      <c r="B3" t="s">
        <v>59</v>
      </c>
      <c r="C3" s="19" t="s">
        <v>60</v>
      </c>
      <c r="D3" t="s">
        <v>61</v>
      </c>
      <c r="E3" s="17">
        <v>4.2999999999999997E-2</v>
      </c>
      <c r="F3" s="20" t="s">
        <v>62</v>
      </c>
      <c r="G3">
        <v>0.48</v>
      </c>
      <c r="H3" s="79">
        <v>0.3</v>
      </c>
      <c r="I3" s="21">
        <v>0.12</v>
      </c>
    </row>
    <row r="4" spans="1:11">
      <c r="A4" s="63"/>
      <c r="B4" s="22"/>
      <c r="C4" s="19" t="s">
        <v>63</v>
      </c>
      <c r="D4" s="19" t="s">
        <v>64</v>
      </c>
      <c r="E4" s="17">
        <v>2.5999999999999999E-2</v>
      </c>
      <c r="F4" s="20" t="s">
        <v>62</v>
      </c>
      <c r="G4">
        <v>0.25</v>
      </c>
      <c r="H4" s="80"/>
      <c r="I4" s="22"/>
    </row>
    <row r="5" spans="1:11">
      <c r="A5" s="64"/>
      <c r="B5" s="23"/>
      <c r="C5" s="24" t="s">
        <v>65</v>
      </c>
      <c r="D5" s="24" t="s">
        <v>66</v>
      </c>
      <c r="E5" s="25">
        <v>3.9E-2</v>
      </c>
      <c r="F5" s="26" t="s">
        <v>62</v>
      </c>
      <c r="G5" s="27">
        <v>0.19</v>
      </c>
      <c r="H5" s="81"/>
      <c r="I5" s="27"/>
    </row>
    <row r="6" spans="1:11">
      <c r="A6" s="62" t="s">
        <v>67</v>
      </c>
      <c r="B6" t="s">
        <v>68</v>
      </c>
      <c r="C6" s="19" t="s">
        <v>69</v>
      </c>
      <c r="D6" s="19" t="s">
        <v>70</v>
      </c>
      <c r="E6" s="16">
        <v>1.9379999999999999</v>
      </c>
      <c r="F6" s="28">
        <v>0.08</v>
      </c>
      <c r="G6" s="29">
        <v>0.35</v>
      </c>
      <c r="H6" s="79">
        <v>0.96</v>
      </c>
      <c r="I6" s="21">
        <v>0.72</v>
      </c>
    </row>
    <row r="7" spans="1:11">
      <c r="A7" s="63"/>
      <c r="B7" s="22"/>
      <c r="C7" s="19" t="s">
        <v>71</v>
      </c>
      <c r="D7" s="19" t="s">
        <v>72</v>
      </c>
      <c r="E7" s="16">
        <v>1.3826000000000001</v>
      </c>
      <c r="F7" s="28">
        <v>0.08</v>
      </c>
      <c r="G7" s="21">
        <v>0.56999999999999995</v>
      </c>
      <c r="H7" s="80"/>
      <c r="I7" s="22"/>
    </row>
    <row r="8" spans="1:11">
      <c r="A8" s="64"/>
      <c r="B8" s="27"/>
      <c r="C8" s="24" t="s">
        <v>73</v>
      </c>
      <c r="D8" s="24" t="s">
        <v>74</v>
      </c>
      <c r="E8" s="30">
        <v>2.84</v>
      </c>
      <c r="F8" s="31">
        <v>0.03</v>
      </c>
      <c r="G8" s="27">
        <v>1.95</v>
      </c>
      <c r="H8" s="81"/>
      <c r="I8" s="27"/>
    </row>
    <row r="9" spans="1:11">
      <c r="A9" s="62" t="s">
        <v>75</v>
      </c>
      <c r="B9" s="32" t="s">
        <v>76</v>
      </c>
      <c r="C9" s="33" t="s">
        <v>77</v>
      </c>
      <c r="D9" s="33" t="s">
        <v>78</v>
      </c>
      <c r="E9" s="34">
        <v>14.28</v>
      </c>
      <c r="F9" s="28">
        <v>0.06</v>
      </c>
      <c r="G9" s="35">
        <v>1.63</v>
      </c>
      <c r="H9" s="82">
        <v>1.28</v>
      </c>
      <c r="I9" s="32">
        <v>0.28000000000000003</v>
      </c>
    </row>
    <row r="10" spans="1:11">
      <c r="A10" s="63"/>
      <c r="B10" s="27"/>
      <c r="C10" s="24" t="s">
        <v>79</v>
      </c>
      <c r="D10" s="24" t="s">
        <v>80</v>
      </c>
      <c r="E10" s="30">
        <v>3.13</v>
      </c>
      <c r="F10" s="31">
        <v>0.05</v>
      </c>
      <c r="G10" s="27">
        <v>0.93</v>
      </c>
      <c r="H10" s="83"/>
      <c r="I10" s="22"/>
    </row>
    <row r="11" spans="1:11">
      <c r="A11" s="63"/>
      <c r="B11" s="35" t="s">
        <v>81</v>
      </c>
      <c r="C11" s="33" t="s">
        <v>82</v>
      </c>
      <c r="D11" s="33" t="s">
        <v>83</v>
      </c>
      <c r="E11" s="34">
        <v>5.7279999999999998</v>
      </c>
      <c r="F11" s="28">
        <v>0.12</v>
      </c>
      <c r="G11" s="35">
        <v>0.72</v>
      </c>
      <c r="H11" s="82">
        <v>0.54</v>
      </c>
      <c r="I11" s="35">
        <v>0.18</v>
      </c>
    </row>
    <row r="12" spans="1:11">
      <c r="A12" s="64"/>
      <c r="B12" s="23"/>
      <c r="C12" s="24" t="s">
        <v>84</v>
      </c>
      <c r="D12" s="24" t="s">
        <v>85</v>
      </c>
      <c r="E12" s="30">
        <v>1.56</v>
      </c>
      <c r="F12" s="28">
        <v>7.0000000000000007E-2</v>
      </c>
      <c r="G12" s="27">
        <v>0.36</v>
      </c>
      <c r="H12" s="83"/>
      <c r="I12" s="23"/>
      <c r="K12" s="21"/>
    </row>
    <row r="13" spans="1:11">
      <c r="A13" s="36" t="s">
        <v>86</v>
      </c>
      <c r="B13" s="37" t="s">
        <v>87</v>
      </c>
      <c r="C13" s="38" t="s">
        <v>88</v>
      </c>
      <c r="D13" s="38" t="s">
        <v>89</v>
      </c>
      <c r="E13" s="39">
        <v>3.95</v>
      </c>
      <c r="F13" s="40">
        <v>0.03</v>
      </c>
      <c r="G13" s="37">
        <v>0.16</v>
      </c>
      <c r="H13" s="84">
        <v>0.16</v>
      </c>
      <c r="I13" s="37"/>
    </row>
    <row r="14" spans="1:11">
      <c r="A14" s="59" t="s">
        <v>90</v>
      </c>
      <c r="B14" s="32" t="s">
        <v>91</v>
      </c>
      <c r="C14" s="19" t="s">
        <v>92</v>
      </c>
      <c r="D14" s="19" t="s">
        <v>93</v>
      </c>
      <c r="E14" s="41">
        <v>2.8772208356000002</v>
      </c>
      <c r="F14" s="42">
        <v>0.06</v>
      </c>
      <c r="G14">
        <v>0.17</v>
      </c>
      <c r="H14" s="79">
        <v>0.17</v>
      </c>
      <c r="I14" s="35">
        <v>0.02</v>
      </c>
    </row>
    <row r="15" spans="1:11">
      <c r="A15" s="60"/>
      <c r="B15" s="43"/>
      <c r="C15" s="19" t="s">
        <v>94</v>
      </c>
      <c r="D15" s="19" t="s">
        <v>95</v>
      </c>
      <c r="E15" s="41">
        <v>3.8514314780000003</v>
      </c>
      <c r="F15" s="42">
        <v>0.16</v>
      </c>
      <c r="G15" s="21">
        <v>0.19</v>
      </c>
      <c r="H15" s="80"/>
      <c r="I15" s="22"/>
    </row>
    <row r="16" spans="1:11">
      <c r="A16" s="60"/>
      <c r="B16" s="27"/>
      <c r="C16" s="24" t="s">
        <v>96</v>
      </c>
      <c r="D16" s="24" t="s">
        <v>97</v>
      </c>
      <c r="E16" s="44">
        <v>2.2725893807999999</v>
      </c>
      <c r="F16" s="45">
        <v>0.06</v>
      </c>
      <c r="G16" s="27">
        <v>0.16</v>
      </c>
      <c r="H16" s="83"/>
      <c r="I16" s="27"/>
    </row>
    <row r="17" spans="1:9">
      <c r="A17" s="60"/>
      <c r="B17" t="s">
        <v>98</v>
      </c>
      <c r="C17" s="19" t="s">
        <v>99</v>
      </c>
      <c r="D17" s="19" t="s">
        <v>100</v>
      </c>
      <c r="E17" s="16">
        <v>2.9000000000000001E-2</v>
      </c>
      <c r="F17" s="46">
        <v>0.04</v>
      </c>
      <c r="G17">
        <v>0.36</v>
      </c>
      <c r="H17" s="79">
        <v>0.44</v>
      </c>
      <c r="I17" s="35">
        <v>7.0000000000000007E-2</v>
      </c>
    </row>
    <row r="18" spans="1:9">
      <c r="A18" s="60"/>
      <c r="B18" s="22"/>
      <c r="C18" s="19" t="s">
        <v>101</v>
      </c>
      <c r="D18" s="19" t="s">
        <v>102</v>
      </c>
      <c r="E18" s="16">
        <v>4.9000000000000002E-2</v>
      </c>
      <c r="F18" s="46">
        <v>0.06</v>
      </c>
      <c r="G18">
        <v>0.52</v>
      </c>
      <c r="H18" s="80"/>
      <c r="I18" s="22"/>
    </row>
    <row r="19" spans="1:9">
      <c r="A19" s="60"/>
      <c r="B19" s="23"/>
      <c r="C19" s="24" t="s">
        <v>103</v>
      </c>
      <c r="D19" s="24" t="s">
        <v>104</v>
      </c>
      <c r="E19" s="30">
        <v>7.4999999999999997E-2</v>
      </c>
      <c r="F19" s="47">
        <v>0.09</v>
      </c>
      <c r="G19" s="27">
        <v>0.43</v>
      </c>
      <c r="H19" s="83"/>
      <c r="I19" s="23"/>
    </row>
    <row r="20" spans="1:9">
      <c r="A20" s="60"/>
      <c r="B20" t="s">
        <v>105</v>
      </c>
      <c r="C20" s="19" t="s">
        <v>106</v>
      </c>
      <c r="D20" s="19" t="s">
        <v>107</v>
      </c>
      <c r="E20" s="16">
        <v>0.02</v>
      </c>
      <c r="F20" s="46">
        <v>3.6579097865193762E-2</v>
      </c>
      <c r="G20" s="29">
        <v>0.27</v>
      </c>
      <c r="H20" s="79">
        <v>0.38</v>
      </c>
      <c r="I20" s="35">
        <v>0.23</v>
      </c>
    </row>
    <row r="21" spans="1:9">
      <c r="A21" s="60"/>
      <c r="B21" s="22"/>
      <c r="C21" s="19" t="s">
        <v>108</v>
      </c>
      <c r="D21" s="19" t="s">
        <v>109</v>
      </c>
      <c r="E21" s="16">
        <v>4.2999999999999997E-2</v>
      </c>
      <c r="F21" s="46">
        <v>0.05</v>
      </c>
      <c r="G21">
        <v>0.17</v>
      </c>
      <c r="H21" s="80"/>
      <c r="I21" s="22"/>
    </row>
    <row r="22" spans="1:9">
      <c r="A22" s="60"/>
      <c r="B22" s="43"/>
      <c r="C22" s="19" t="s">
        <v>110</v>
      </c>
      <c r="D22" s="19" t="s">
        <v>111</v>
      </c>
      <c r="E22" s="16">
        <v>0.04</v>
      </c>
      <c r="F22" s="46">
        <v>4.2206110823407555E-2</v>
      </c>
      <c r="G22">
        <v>0.55000000000000004</v>
      </c>
      <c r="H22" s="80"/>
      <c r="I22" s="22"/>
    </row>
    <row r="23" spans="1:9">
      <c r="A23" s="60"/>
      <c r="C23" s="19" t="s">
        <v>112</v>
      </c>
      <c r="D23" s="19" t="s">
        <v>113</v>
      </c>
      <c r="E23" s="16">
        <v>6.2E-2</v>
      </c>
      <c r="F23" s="46">
        <v>4.2206110823407555E-2</v>
      </c>
      <c r="G23">
        <v>0.8</v>
      </c>
      <c r="H23" s="80"/>
      <c r="I23" s="22"/>
    </row>
    <row r="24" spans="1:9">
      <c r="A24" s="60"/>
      <c r="B24" s="22"/>
      <c r="C24" s="19" t="s">
        <v>114</v>
      </c>
      <c r="D24" s="19" t="s">
        <v>115</v>
      </c>
      <c r="E24" s="16">
        <v>4.4000000000000003E-3</v>
      </c>
      <c r="F24" s="46">
        <v>0.05</v>
      </c>
      <c r="G24" s="21">
        <v>0.19</v>
      </c>
      <c r="H24" s="80"/>
      <c r="I24" s="22"/>
    </row>
    <row r="25" spans="1:9">
      <c r="A25" s="60"/>
      <c r="B25" s="23"/>
      <c r="C25" s="24" t="s">
        <v>116</v>
      </c>
      <c r="D25" s="24" t="s">
        <v>117</v>
      </c>
      <c r="E25" s="30">
        <v>6.7999999999999996E-3</v>
      </c>
      <c r="F25" s="47">
        <v>0.12572515783101301</v>
      </c>
      <c r="G25" s="27">
        <v>0.3</v>
      </c>
      <c r="H25" s="83"/>
      <c r="I25" s="27"/>
    </row>
    <row r="26" spans="1:9">
      <c r="A26" s="60"/>
      <c r="B26" t="s">
        <v>118</v>
      </c>
      <c r="C26" s="19" t="s">
        <v>119</v>
      </c>
      <c r="D26" s="19" t="s">
        <v>120</v>
      </c>
      <c r="E26" s="16">
        <v>0.26300000000000001</v>
      </c>
      <c r="F26" s="46">
        <v>0.04</v>
      </c>
      <c r="G26" s="29">
        <v>0.4</v>
      </c>
      <c r="H26" s="79">
        <v>0.84</v>
      </c>
      <c r="I26" s="35">
        <v>0.51</v>
      </c>
    </row>
    <row r="27" spans="1:9">
      <c r="A27" s="60"/>
      <c r="B27" s="22"/>
      <c r="C27" s="19" t="s">
        <v>121</v>
      </c>
      <c r="D27" s="19" t="s">
        <v>122</v>
      </c>
      <c r="E27" s="16">
        <v>8.5999999999999993E-2</v>
      </c>
      <c r="F27" s="46">
        <v>0.04</v>
      </c>
      <c r="G27" s="29">
        <v>1.66</v>
      </c>
      <c r="H27" s="80"/>
      <c r="I27" s="22"/>
    </row>
    <row r="28" spans="1:9">
      <c r="A28" s="60"/>
      <c r="B28" s="22"/>
      <c r="C28" s="19" t="s">
        <v>123</v>
      </c>
      <c r="D28" s="19" t="s">
        <v>124</v>
      </c>
      <c r="E28" s="16">
        <v>0.311</v>
      </c>
      <c r="F28" s="46">
        <v>0.04</v>
      </c>
      <c r="G28" s="29">
        <v>1.04</v>
      </c>
      <c r="H28" s="80"/>
      <c r="I28" s="22"/>
    </row>
    <row r="29" spans="1:9">
      <c r="A29" s="61"/>
      <c r="C29" s="19" t="s">
        <v>125</v>
      </c>
      <c r="D29" s="24" t="s">
        <v>126</v>
      </c>
      <c r="E29" s="16">
        <v>6.7000000000000002E-3</v>
      </c>
      <c r="F29" s="47">
        <v>0.05</v>
      </c>
      <c r="G29" s="48">
        <v>0.25</v>
      </c>
      <c r="H29" s="83"/>
      <c r="I29" s="23"/>
    </row>
    <row r="30" spans="1:9">
      <c r="A30" s="62" t="s">
        <v>127</v>
      </c>
      <c r="B30" s="35" t="s">
        <v>128</v>
      </c>
      <c r="C30" s="33" t="s">
        <v>129</v>
      </c>
      <c r="D30" s="19" t="s">
        <v>130</v>
      </c>
      <c r="E30" s="34">
        <v>0.06</v>
      </c>
      <c r="F30" s="46">
        <v>0.11</v>
      </c>
      <c r="G30" s="29">
        <v>0.17</v>
      </c>
      <c r="H30" s="85">
        <f>AVERAGE(G30:G32)</f>
        <v>0.13666666666666666</v>
      </c>
      <c r="I30" s="29">
        <f>STDEVPA(G30:G32)</f>
        <v>6.182412330330473E-2</v>
      </c>
    </row>
    <row r="31" spans="1:9">
      <c r="A31" s="63"/>
      <c r="B31" s="22"/>
      <c r="C31" s="19" t="s">
        <v>101</v>
      </c>
      <c r="D31" s="19" t="s">
        <v>131</v>
      </c>
      <c r="E31" s="16">
        <v>7.0000000000000007E-2</v>
      </c>
      <c r="F31" s="46">
        <v>0.11</v>
      </c>
      <c r="G31" s="29">
        <v>0.19</v>
      </c>
      <c r="H31" s="79"/>
      <c r="I31" s="22"/>
    </row>
    <row r="32" spans="1:9">
      <c r="A32" s="63"/>
      <c r="B32" s="23"/>
      <c r="C32" s="24" t="s">
        <v>103</v>
      </c>
      <c r="D32" s="24" t="s">
        <v>132</v>
      </c>
      <c r="E32" s="30">
        <v>0.1</v>
      </c>
      <c r="F32" s="47">
        <v>7.0000000000000007E-2</v>
      </c>
      <c r="G32" s="48">
        <v>0.05</v>
      </c>
      <c r="H32" s="83"/>
      <c r="I32" s="27"/>
    </row>
    <row r="33" spans="1:9">
      <c r="A33" s="63"/>
      <c r="B33" t="s">
        <v>133</v>
      </c>
      <c r="C33" s="19" t="s">
        <v>134</v>
      </c>
      <c r="D33" s="19" t="s">
        <v>135</v>
      </c>
      <c r="E33" s="16">
        <v>0.05</v>
      </c>
      <c r="F33" s="46">
        <v>7.0000000000000007E-2</v>
      </c>
      <c r="G33" s="29">
        <v>0.15</v>
      </c>
      <c r="H33" s="79">
        <v>0.23</v>
      </c>
      <c r="I33" s="21">
        <v>0.09</v>
      </c>
    </row>
    <row r="34" spans="1:9">
      <c r="A34" s="63"/>
      <c r="B34" s="22"/>
      <c r="C34" s="19" t="s">
        <v>136</v>
      </c>
      <c r="D34" s="19" t="s">
        <v>137</v>
      </c>
      <c r="E34" s="16">
        <v>0.8</v>
      </c>
      <c r="F34" s="46">
        <v>7.0000000000000007E-2</v>
      </c>
      <c r="G34" s="29">
        <v>0.36</v>
      </c>
      <c r="H34" s="80"/>
      <c r="I34" s="22"/>
    </row>
    <row r="35" spans="1:9">
      <c r="A35" s="64"/>
      <c r="B35" s="23"/>
      <c r="C35" s="19" t="s">
        <v>138</v>
      </c>
      <c r="D35" s="19" t="s">
        <v>139</v>
      </c>
      <c r="E35" s="16">
        <v>0.78</v>
      </c>
      <c r="F35" s="46">
        <v>7.0000000000000007E-2</v>
      </c>
      <c r="G35" s="29">
        <v>0.17</v>
      </c>
      <c r="H35" s="79"/>
      <c r="I35" s="23"/>
    </row>
    <row r="36" spans="1:9">
      <c r="A36" s="59" t="s">
        <v>140</v>
      </c>
      <c r="B36" s="35" t="s">
        <v>141</v>
      </c>
      <c r="C36" s="33" t="s">
        <v>142</v>
      </c>
      <c r="D36" s="33" t="s">
        <v>143</v>
      </c>
      <c r="E36" s="34">
        <v>28.441788893166077</v>
      </c>
      <c r="F36" s="49">
        <v>4.7365496877898081E-2</v>
      </c>
      <c r="G36" s="50">
        <v>0.71</v>
      </c>
      <c r="H36" s="82">
        <v>0.67</v>
      </c>
      <c r="I36" s="32">
        <v>0.04</v>
      </c>
    </row>
    <row r="37" spans="1:9">
      <c r="A37" s="60"/>
      <c r="B37" s="23"/>
      <c r="C37" s="24" t="s">
        <v>144</v>
      </c>
      <c r="D37" s="24" t="s">
        <v>145</v>
      </c>
      <c r="E37" s="30">
        <v>15.240524170175968</v>
      </c>
      <c r="F37" s="47">
        <v>7.0000000000000007E-2</v>
      </c>
      <c r="G37" s="48">
        <v>0.63</v>
      </c>
      <c r="H37" s="83"/>
      <c r="I37" s="27"/>
    </row>
    <row r="38" spans="1:9">
      <c r="A38" s="60"/>
      <c r="B38" s="32" t="s">
        <v>146</v>
      </c>
      <c r="C38" s="19" t="s">
        <v>147</v>
      </c>
      <c r="D38" s="19" t="s">
        <v>148</v>
      </c>
      <c r="E38" s="16">
        <v>27.825915333333334</v>
      </c>
      <c r="F38" s="46">
        <v>5.8391610142420482E-2</v>
      </c>
      <c r="G38" s="29">
        <v>0.46</v>
      </c>
      <c r="H38" s="86">
        <v>0.39</v>
      </c>
      <c r="I38" s="32">
        <v>7.0000000000000007E-2</v>
      </c>
    </row>
    <row r="39" spans="1:9">
      <c r="A39" s="60"/>
      <c r="C39" s="19" t="s">
        <v>149</v>
      </c>
      <c r="D39" s="19" t="s">
        <v>150</v>
      </c>
      <c r="E39" s="16">
        <v>9.5686381155717779</v>
      </c>
      <c r="F39" s="46">
        <v>8.0211257937633576E-2</v>
      </c>
      <c r="G39" s="29">
        <v>0.32</v>
      </c>
      <c r="H39" s="79"/>
      <c r="I39" s="21"/>
    </row>
    <row r="40" spans="1:9">
      <c r="A40" s="60"/>
      <c r="B40" s="35" t="s">
        <v>151</v>
      </c>
      <c r="C40" s="33" t="s">
        <v>152</v>
      </c>
      <c r="D40" s="33" t="s">
        <v>153</v>
      </c>
      <c r="E40" s="34">
        <v>5.4354328333333335</v>
      </c>
      <c r="F40" s="49">
        <v>0.28472424321190981</v>
      </c>
      <c r="G40" s="50">
        <v>0.22</v>
      </c>
      <c r="H40" s="82">
        <v>0.17</v>
      </c>
      <c r="I40" s="35">
        <v>0.05</v>
      </c>
    </row>
    <row r="41" spans="1:9">
      <c r="A41" s="60"/>
      <c r="B41" s="23"/>
      <c r="C41" s="24" t="s">
        <v>154</v>
      </c>
      <c r="D41" s="24" t="s">
        <v>155</v>
      </c>
      <c r="E41" s="30">
        <v>2.4423491155717763</v>
      </c>
      <c r="F41" s="47">
        <v>0.31139958458475708</v>
      </c>
      <c r="G41" s="48">
        <v>0.12</v>
      </c>
      <c r="H41" s="83"/>
      <c r="I41" s="23"/>
    </row>
    <row r="42" spans="1:9">
      <c r="A42" s="60"/>
      <c r="B42" s="32" t="s">
        <v>156</v>
      </c>
      <c r="C42" s="19" t="s">
        <v>157</v>
      </c>
      <c r="D42" s="19" t="s">
        <v>158</v>
      </c>
      <c r="E42" s="16">
        <v>27.864000000000001</v>
      </c>
      <c r="F42" s="46">
        <v>5.5627332759115702E-2</v>
      </c>
      <c r="G42" s="29">
        <v>0.41</v>
      </c>
      <c r="H42" s="79">
        <v>0.47</v>
      </c>
      <c r="I42" s="21">
        <v>0.05</v>
      </c>
    </row>
    <row r="43" spans="1:9">
      <c r="A43" s="60"/>
      <c r="C43" s="19" t="s">
        <v>159</v>
      </c>
      <c r="D43" s="19" t="s">
        <v>160</v>
      </c>
      <c r="E43" s="16">
        <v>8.7415526155717771</v>
      </c>
      <c r="F43" s="46">
        <v>8.2579723733983715E-2</v>
      </c>
      <c r="G43" s="29">
        <v>0.53</v>
      </c>
      <c r="H43" s="83"/>
      <c r="I43" s="23"/>
    </row>
    <row r="44" spans="1:9">
      <c r="A44" s="60"/>
      <c r="B44" s="32" t="s">
        <v>161</v>
      </c>
      <c r="C44" s="33" t="s">
        <v>162</v>
      </c>
      <c r="D44" s="33" t="s">
        <v>163</v>
      </c>
      <c r="E44" s="34">
        <v>10.418190520833331</v>
      </c>
      <c r="F44" s="49">
        <v>0.1256271120097841</v>
      </c>
      <c r="G44" s="50">
        <v>0.09</v>
      </c>
      <c r="H44" s="82">
        <v>7.0000000000000007E-2</v>
      </c>
      <c r="I44" s="35">
        <v>0.02</v>
      </c>
    </row>
    <row r="45" spans="1:9">
      <c r="A45" s="60"/>
      <c r="B45" s="27"/>
      <c r="C45" s="24" t="s">
        <v>164</v>
      </c>
      <c r="D45" s="24" t="s">
        <v>165</v>
      </c>
      <c r="E45" s="30">
        <v>4.2166641780717757</v>
      </c>
      <c r="F45" s="47">
        <v>0.15777556248366609</v>
      </c>
      <c r="G45" s="48">
        <v>0.05</v>
      </c>
      <c r="H45" s="83"/>
      <c r="I45" s="23"/>
    </row>
    <row r="46" spans="1:9">
      <c r="A46" s="60"/>
      <c r="B46" t="s">
        <v>166</v>
      </c>
      <c r="C46" s="19" t="s">
        <v>167</v>
      </c>
      <c r="D46" s="19" t="s">
        <v>168</v>
      </c>
      <c r="E46" s="16">
        <v>9.9670563256657392</v>
      </c>
      <c r="F46" s="46">
        <v>0.13025259992330643</v>
      </c>
      <c r="G46" s="29">
        <v>0.45</v>
      </c>
      <c r="H46" s="79">
        <v>0.45</v>
      </c>
      <c r="I46" s="21"/>
    </row>
    <row r="47" spans="1:9">
      <c r="A47" s="60"/>
      <c r="B47" s="35" t="s">
        <v>169</v>
      </c>
      <c r="C47" s="33" t="s">
        <v>170</v>
      </c>
      <c r="D47" s="33" t="s">
        <v>171</v>
      </c>
      <c r="E47" s="34">
        <v>9.2070833333333333</v>
      </c>
      <c r="F47" s="49">
        <v>0.16324387925962799</v>
      </c>
      <c r="G47" s="50">
        <v>0.44</v>
      </c>
      <c r="H47" s="82">
        <v>0.32</v>
      </c>
      <c r="I47" s="35">
        <v>0.12</v>
      </c>
    </row>
    <row r="48" spans="1:9">
      <c r="A48" s="60"/>
      <c r="B48" s="23"/>
      <c r="C48" s="24" t="s">
        <v>172</v>
      </c>
      <c r="D48" s="24" t="s">
        <v>173</v>
      </c>
      <c r="E48" s="30">
        <v>4.7294513655717765</v>
      </c>
      <c r="F48" s="47">
        <v>0.16255241688209146</v>
      </c>
      <c r="G48" s="48">
        <v>0.2</v>
      </c>
      <c r="H48" s="83"/>
      <c r="I48" s="23"/>
    </row>
    <row r="49" spans="1:9">
      <c r="A49" s="60"/>
      <c r="B49" t="s">
        <v>174</v>
      </c>
      <c r="C49" s="19" t="s">
        <v>175</v>
      </c>
      <c r="D49" s="19" t="s">
        <v>176</v>
      </c>
      <c r="E49" s="16">
        <v>28.558563333333336</v>
      </c>
      <c r="F49" s="46">
        <v>5.6893618248070141E-2</v>
      </c>
      <c r="G49" s="29">
        <v>0.41</v>
      </c>
      <c r="H49" s="86">
        <v>0.31</v>
      </c>
      <c r="I49" s="32">
        <v>0.8</v>
      </c>
    </row>
    <row r="50" spans="1:9">
      <c r="A50" s="60"/>
      <c r="B50" s="23"/>
      <c r="C50" s="19" t="s">
        <v>177</v>
      </c>
      <c r="D50" s="19" t="s">
        <v>178</v>
      </c>
      <c r="E50" s="16">
        <v>11.68426211557178</v>
      </c>
      <c r="F50" s="46">
        <v>6.5687716725998921E-2</v>
      </c>
      <c r="G50" s="29">
        <v>0.21</v>
      </c>
      <c r="H50" s="79"/>
      <c r="I50" s="21"/>
    </row>
    <row r="51" spans="1:9">
      <c r="A51" s="60"/>
      <c r="B51" s="35" t="s">
        <v>179</v>
      </c>
      <c r="C51" s="33" t="s">
        <v>180</v>
      </c>
      <c r="D51" s="33" t="s">
        <v>181</v>
      </c>
      <c r="E51" s="34">
        <v>5.5126333333333335</v>
      </c>
      <c r="F51" s="49">
        <v>0.29474117028159563</v>
      </c>
      <c r="G51" s="50">
        <v>0.12</v>
      </c>
      <c r="H51" s="82">
        <v>0.1</v>
      </c>
      <c r="I51" s="32">
        <v>0.02</v>
      </c>
    </row>
    <row r="52" spans="1:9">
      <c r="A52" s="60"/>
      <c r="B52" s="23"/>
      <c r="C52" s="24" t="s">
        <v>182</v>
      </c>
      <c r="D52" s="24" t="s">
        <v>183</v>
      </c>
      <c r="E52" s="30">
        <v>3.8608078333333333</v>
      </c>
      <c r="F52" s="47">
        <v>0.40084862205219834</v>
      </c>
      <c r="G52" s="27">
        <v>0.09</v>
      </c>
      <c r="H52" s="83"/>
      <c r="I52" s="27"/>
    </row>
    <row r="53" spans="1:9">
      <c r="A53" s="60"/>
      <c r="B53" t="s">
        <v>184</v>
      </c>
      <c r="C53" s="19" t="s">
        <v>185</v>
      </c>
      <c r="D53" s="19" t="s">
        <v>186</v>
      </c>
      <c r="E53" s="16">
        <v>41.585323333333328</v>
      </c>
      <c r="F53" s="46">
        <v>3.9071476900063393E-2</v>
      </c>
      <c r="G53">
        <v>0.25</v>
      </c>
      <c r="H53" s="86">
        <v>0.18</v>
      </c>
      <c r="I53" s="32">
        <v>0.06</v>
      </c>
    </row>
    <row r="54" spans="1:9">
      <c r="A54" s="60"/>
      <c r="B54" s="23"/>
      <c r="C54" s="19" t="s">
        <v>187</v>
      </c>
      <c r="D54" s="19" t="s">
        <v>188</v>
      </c>
      <c r="E54" s="16">
        <v>17.273977615571773</v>
      </c>
      <c r="F54" s="46">
        <v>5.4272387105265357E-2</v>
      </c>
      <c r="G54">
        <v>0.11</v>
      </c>
      <c r="H54" s="79"/>
      <c r="I54" s="21"/>
    </row>
    <row r="55" spans="1:9">
      <c r="A55" s="60"/>
      <c r="B55" s="37" t="s">
        <v>189</v>
      </c>
      <c r="C55" s="38" t="s">
        <v>190</v>
      </c>
      <c r="D55" s="38" t="s">
        <v>191</v>
      </c>
      <c r="E55" s="39">
        <v>146.58689029832638</v>
      </c>
      <c r="F55" s="51">
        <v>0</v>
      </c>
      <c r="G55" s="37">
        <v>0.08</v>
      </c>
      <c r="H55" s="84">
        <v>0.08</v>
      </c>
      <c r="I55" s="37"/>
    </row>
    <row r="56" spans="1:9">
      <c r="A56" s="60"/>
      <c r="B56" t="s">
        <v>192</v>
      </c>
      <c r="C56" s="19" t="s">
        <v>193</v>
      </c>
      <c r="D56" s="19" t="s">
        <v>194</v>
      </c>
      <c r="E56" s="16">
        <v>18.02846527574372</v>
      </c>
      <c r="F56" s="46">
        <v>7.2912300348082396E-2</v>
      </c>
      <c r="G56">
        <v>0.17</v>
      </c>
      <c r="H56" s="86">
        <v>0.14000000000000001</v>
      </c>
      <c r="I56" s="21">
        <v>0.03</v>
      </c>
    </row>
    <row r="57" spans="1:9">
      <c r="A57" s="60"/>
      <c r="B57" s="23"/>
      <c r="C57" s="19" t="s">
        <v>195</v>
      </c>
      <c r="D57" s="19" t="s">
        <v>196</v>
      </c>
      <c r="E57" s="16">
        <v>7.4971303925359303</v>
      </c>
      <c r="F57" s="46">
        <v>8.9140606473291667E-2</v>
      </c>
      <c r="G57">
        <v>0.11</v>
      </c>
      <c r="H57" s="79"/>
      <c r="I57" s="23"/>
    </row>
    <row r="58" spans="1:9">
      <c r="A58" s="60"/>
      <c r="B58" s="32" t="s">
        <v>197</v>
      </c>
      <c r="C58" s="33" t="s">
        <v>198</v>
      </c>
      <c r="D58" s="33" t="s">
        <v>199</v>
      </c>
      <c r="E58" s="34">
        <v>10.065561591731004</v>
      </c>
      <c r="F58" s="49">
        <v>0.12898249026329098</v>
      </c>
      <c r="G58" s="35">
        <v>0.16</v>
      </c>
      <c r="H58" s="82">
        <v>0.12</v>
      </c>
      <c r="I58" s="35">
        <v>0.04</v>
      </c>
    </row>
    <row r="59" spans="1:9">
      <c r="A59" s="60"/>
      <c r="B59" s="27"/>
      <c r="C59" s="24" t="s">
        <v>200</v>
      </c>
      <c r="D59" s="24" t="s">
        <v>201</v>
      </c>
      <c r="E59" s="30">
        <v>4.2949459569799409</v>
      </c>
      <c r="F59" s="47">
        <v>0.15408363262976696</v>
      </c>
      <c r="G59" s="27">
        <v>0.08</v>
      </c>
      <c r="H59" s="83"/>
      <c r="I59" s="23"/>
    </row>
    <row r="60" spans="1:9">
      <c r="A60" s="60"/>
      <c r="B60" t="s">
        <v>202</v>
      </c>
      <c r="C60" s="19" t="s">
        <v>203</v>
      </c>
      <c r="D60" s="19" t="s">
        <v>204</v>
      </c>
      <c r="E60" s="16">
        <v>13.802860673333333</v>
      </c>
      <c r="F60" s="46">
        <v>0.11212164902815477</v>
      </c>
      <c r="G60" s="29">
        <v>0.12</v>
      </c>
      <c r="H60" s="86">
        <v>0.11</v>
      </c>
      <c r="I60" s="21">
        <v>0.01</v>
      </c>
    </row>
    <row r="61" spans="1:9">
      <c r="A61" s="61"/>
      <c r="B61" s="23"/>
      <c r="C61" s="19" t="s">
        <v>205</v>
      </c>
      <c r="D61" s="19" t="s">
        <v>206</v>
      </c>
      <c r="E61" s="16">
        <v>5.7645209955717771</v>
      </c>
      <c r="F61" s="46">
        <v>0.13193576718416691</v>
      </c>
      <c r="G61">
        <v>0.1</v>
      </c>
      <c r="H61" s="79"/>
      <c r="I61" s="23"/>
    </row>
    <row r="62" spans="1:9">
      <c r="A62" s="62" t="s">
        <v>207</v>
      </c>
      <c r="B62" s="37" t="s">
        <v>208</v>
      </c>
      <c r="C62" s="38" t="s">
        <v>209</v>
      </c>
      <c r="D62" s="37" t="s">
        <v>210</v>
      </c>
      <c r="E62" s="39">
        <v>0.21</v>
      </c>
      <c r="F62" s="51">
        <v>0.14506769825918761</v>
      </c>
      <c r="G62" s="37">
        <v>0.42</v>
      </c>
      <c r="H62" s="84">
        <v>0.42</v>
      </c>
      <c r="I62" s="37"/>
    </row>
    <row r="63" spans="1:9">
      <c r="A63" s="63"/>
      <c r="B63" t="s">
        <v>211</v>
      </c>
      <c r="C63" s="19" t="s">
        <v>212</v>
      </c>
      <c r="D63" t="s">
        <v>213</v>
      </c>
      <c r="E63" s="16">
        <v>1.28</v>
      </c>
      <c r="F63" s="49">
        <v>0.14506769825918761</v>
      </c>
      <c r="G63">
        <v>0.37</v>
      </c>
      <c r="H63" s="79">
        <v>0.37</v>
      </c>
      <c r="I63" s="21"/>
    </row>
    <row r="64" spans="1:9">
      <c r="A64" s="64"/>
      <c r="B64" s="37" t="s">
        <v>214</v>
      </c>
      <c r="C64" s="38" t="s">
        <v>215</v>
      </c>
      <c r="D64" s="37" t="s">
        <v>210</v>
      </c>
      <c r="E64" s="39">
        <v>1.5</v>
      </c>
      <c r="F64" s="51">
        <v>0.02</v>
      </c>
      <c r="G64" s="37">
        <v>0.96</v>
      </c>
      <c r="H64" s="84">
        <v>0.96</v>
      </c>
      <c r="I64" s="37"/>
    </row>
    <row r="65" spans="6:9">
      <c r="F65" s="52"/>
      <c r="I65" s="21"/>
    </row>
    <row r="66" spans="6:9">
      <c r="I66" s="21"/>
    </row>
    <row r="67" spans="6:9">
      <c r="I67" s="21"/>
    </row>
    <row r="68" spans="6:9">
      <c r="I68" s="21"/>
    </row>
    <row r="69" spans="6:9">
      <c r="I69" s="21"/>
    </row>
    <row r="70" spans="6:9">
      <c r="I70" s="21"/>
    </row>
    <row r="71" spans="6:9">
      <c r="I71" s="21"/>
    </row>
    <row r="72" spans="6:9">
      <c r="I72" s="21"/>
    </row>
    <row r="73" spans="6:9">
      <c r="I73" s="21"/>
    </row>
    <row r="74" spans="6:9">
      <c r="I74" s="21"/>
    </row>
    <row r="75" spans="6:9">
      <c r="I75" s="21"/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A36:A61"/>
    <mergeCell ref="A62:A64"/>
    <mergeCell ref="A3:A5"/>
    <mergeCell ref="A6:A8"/>
    <mergeCell ref="A9:A12"/>
    <mergeCell ref="A14:A29"/>
    <mergeCell ref="A30:A35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A27" sqref="A27"/>
    </sheetView>
  </sheetViews>
  <sheetFormatPr baseColWidth="10" defaultRowHeight="14" x14ac:dyDescent="0"/>
  <cols>
    <col min="1" max="2" width="25.5" bestFit="1" customWidth="1"/>
    <col min="3" max="3" width="66.83203125" bestFit="1" customWidth="1"/>
    <col min="4" max="4" width="95.5" bestFit="1" customWidth="1"/>
  </cols>
  <sheetData>
    <row r="1" spans="1:4">
      <c r="A1" s="53" t="s">
        <v>35</v>
      </c>
      <c r="B1" s="53" t="s">
        <v>37</v>
      </c>
      <c r="C1" s="54" t="s">
        <v>216</v>
      </c>
      <c r="D1" s="53" t="s">
        <v>41</v>
      </c>
    </row>
    <row r="2" spans="1:4">
      <c r="A2" s="21" t="s">
        <v>217</v>
      </c>
      <c r="B2" t="s">
        <v>218</v>
      </c>
      <c r="C2" s="21" t="s">
        <v>219</v>
      </c>
      <c r="D2" s="21"/>
    </row>
    <row r="3" spans="1:4">
      <c r="A3" s="21" t="s">
        <v>220</v>
      </c>
      <c r="B3" t="str">
        <f t="shared" ref="B3:B11" si="0">B2</f>
        <v>Ecoinvent v3.8*</v>
      </c>
      <c r="C3" s="21" t="s">
        <v>221</v>
      </c>
      <c r="D3" s="21" t="s">
        <v>222</v>
      </c>
    </row>
    <row r="4" spans="1:4">
      <c r="A4" s="21" t="s">
        <v>223</v>
      </c>
      <c r="B4" t="str">
        <f t="shared" si="0"/>
        <v>Ecoinvent v3.8*</v>
      </c>
      <c r="C4" s="21" t="s">
        <v>224</v>
      </c>
      <c r="D4" s="21"/>
    </row>
    <row r="5" spans="1:4">
      <c r="A5" s="21" t="s">
        <v>225</v>
      </c>
      <c r="B5" t="str">
        <f t="shared" si="0"/>
        <v>Ecoinvent v3.8*</v>
      </c>
      <c r="C5" s="21" t="s">
        <v>226</v>
      </c>
      <c r="D5" s="21"/>
    </row>
    <row r="6" spans="1:4">
      <c r="A6" s="21" t="s">
        <v>227</v>
      </c>
      <c r="B6" t="str">
        <f t="shared" si="0"/>
        <v>Ecoinvent v3.8*</v>
      </c>
      <c r="C6" s="21" t="s">
        <v>228</v>
      </c>
      <c r="D6" s="21"/>
    </row>
    <row r="7" spans="1:4">
      <c r="A7" s="21" t="s">
        <v>229</v>
      </c>
      <c r="B7" t="str">
        <f t="shared" si="0"/>
        <v>Ecoinvent v3.8*</v>
      </c>
      <c r="C7" s="21" t="s">
        <v>230</v>
      </c>
      <c r="D7" s="21"/>
    </row>
    <row r="8" spans="1:4" ht="16">
      <c r="A8" s="21" t="s">
        <v>231</v>
      </c>
      <c r="B8" t="str">
        <f t="shared" si="0"/>
        <v>Ecoinvent v3.8*</v>
      </c>
      <c r="C8" s="21" t="s">
        <v>232</v>
      </c>
      <c r="D8" s="21" t="s">
        <v>233</v>
      </c>
    </row>
    <row r="9" spans="1:4">
      <c r="A9" s="21" t="s">
        <v>234</v>
      </c>
      <c r="B9" t="str">
        <f t="shared" si="0"/>
        <v>Ecoinvent v3.8*</v>
      </c>
      <c r="C9" s="55" t="s">
        <v>235</v>
      </c>
      <c r="D9" s="21"/>
    </row>
    <row r="10" spans="1:4">
      <c r="A10" s="21" t="s">
        <v>236</v>
      </c>
      <c r="B10" t="str">
        <f t="shared" si="0"/>
        <v>Ecoinvent v3.8*</v>
      </c>
      <c r="C10" s="55" t="s">
        <v>237</v>
      </c>
      <c r="D10" s="21"/>
    </row>
    <row r="11" spans="1:4" ht="16.25" customHeight="1">
      <c r="A11" s="21" t="s">
        <v>238</v>
      </c>
      <c r="B11" t="str">
        <f t="shared" si="0"/>
        <v>Ecoinvent v3.8*</v>
      </c>
      <c r="C11" s="55" t="s">
        <v>239</v>
      </c>
      <c r="D11" s="21"/>
    </row>
    <row r="12" spans="1:4" ht="15" customHeight="1">
      <c r="A12" s="21" t="s">
        <v>240</v>
      </c>
      <c r="B12" s="21" t="s">
        <v>241</v>
      </c>
      <c r="C12" s="55" t="s">
        <v>242</v>
      </c>
      <c r="D12" s="21"/>
    </row>
    <row r="13" spans="1:4">
      <c r="A13" s="21" t="s">
        <v>243</v>
      </c>
      <c r="B13" s="56" t="s">
        <v>218</v>
      </c>
      <c r="C13" s="21" t="s">
        <v>244</v>
      </c>
      <c r="D13" s="21"/>
    </row>
    <row r="14" spans="1:4">
      <c r="A14" s="21" t="s">
        <v>245</v>
      </c>
      <c r="B14" s="57" t="s">
        <v>218</v>
      </c>
      <c r="C14" s="21" t="s">
        <v>246</v>
      </c>
      <c r="D14" s="21" t="s">
        <v>247</v>
      </c>
    </row>
    <row r="15" spans="1:4" ht="16.25" customHeight="1">
      <c r="A15" s="21" t="s">
        <v>248</v>
      </c>
      <c r="B15" s="57" t="s">
        <v>218</v>
      </c>
      <c r="C15" s="21" t="s">
        <v>249</v>
      </c>
      <c r="D15" s="21"/>
    </row>
    <row r="16" spans="1:4" ht="16.25" customHeight="1">
      <c r="A16" s="21" t="s">
        <v>250</v>
      </c>
      <c r="B16" s="58" t="s">
        <v>251</v>
      </c>
      <c r="C16" s="21" t="s">
        <v>252</v>
      </c>
      <c r="D16" s="21"/>
    </row>
    <row r="17" spans="1:4" ht="16.25" customHeight="1">
      <c r="A17" s="21" t="s">
        <v>253</v>
      </c>
      <c r="B17" t="s">
        <v>218</v>
      </c>
      <c r="C17" s="21" t="s">
        <v>254</v>
      </c>
      <c r="D17" s="21"/>
    </row>
    <row r="18" spans="1:4" ht="16.25" customHeight="1">
      <c r="A18" s="21" t="s">
        <v>255</v>
      </c>
      <c r="B18" s="56" t="s">
        <v>218</v>
      </c>
      <c r="C18" s="21" t="s">
        <v>249</v>
      </c>
      <c r="D18" s="21"/>
    </row>
    <row r="19" spans="1:4">
      <c r="A19" s="21" t="s">
        <v>256</v>
      </c>
      <c r="B19" s="56" t="s">
        <v>218</v>
      </c>
      <c r="C19" s="21" t="s">
        <v>257</v>
      </c>
      <c r="D19" s="21"/>
    </row>
    <row r="20" spans="1:4">
      <c r="A20" s="21" t="s">
        <v>258</v>
      </c>
      <c r="B20" s="21" t="s">
        <v>259</v>
      </c>
      <c r="D20" s="21"/>
    </row>
    <row r="21" spans="1:4">
      <c r="A21" s="21" t="s">
        <v>260</v>
      </c>
      <c r="B21" t="s">
        <v>218</v>
      </c>
      <c r="C21" s="21" t="s">
        <v>261</v>
      </c>
      <c r="D21" s="21"/>
    </row>
    <row r="22" spans="1:4">
      <c r="A22" s="21" t="s">
        <v>262</v>
      </c>
      <c r="B22" s="56" t="s">
        <v>218</v>
      </c>
      <c r="C22" s="21" t="s">
        <v>263</v>
      </c>
      <c r="D22" s="21"/>
    </row>
    <row r="23" spans="1:4">
      <c r="A23" s="21" t="s">
        <v>264</v>
      </c>
      <c r="B23" s="56" t="s">
        <v>218</v>
      </c>
      <c r="C23" s="21" t="s">
        <v>265</v>
      </c>
      <c r="D23" s="21"/>
    </row>
    <row r="24" spans="1:4">
      <c r="A24" s="21" t="s">
        <v>266</v>
      </c>
      <c r="B24" s="56" t="s">
        <v>218</v>
      </c>
      <c r="C24" s="21" t="s">
        <v>267</v>
      </c>
      <c r="D24" s="21"/>
    </row>
    <row r="25" spans="1:4">
      <c r="A25" s="21" t="s">
        <v>268</v>
      </c>
      <c r="B25" s="56" t="s">
        <v>218</v>
      </c>
      <c r="C25" s="21" t="s">
        <v>269</v>
      </c>
      <c r="D25" s="21"/>
    </row>
    <row r="26" spans="1:4">
      <c r="A26" s="21" t="s">
        <v>270</v>
      </c>
      <c r="B26" s="56" t="s">
        <v>218</v>
      </c>
      <c r="C26" s="21" t="s">
        <v>271</v>
      </c>
      <c r="D26" s="21"/>
    </row>
    <row r="27" spans="1:4">
      <c r="A27" s="21" t="s">
        <v>272</v>
      </c>
      <c r="B27" s="56" t="s">
        <v>218</v>
      </c>
      <c r="C27" s="21" t="s">
        <v>273</v>
      </c>
      <c r="D27" s="21"/>
    </row>
    <row r="28" spans="1:4">
      <c r="A28" s="21" t="s">
        <v>274</v>
      </c>
      <c r="B28" s="56" t="s">
        <v>218</v>
      </c>
      <c r="C28" s="21" t="s">
        <v>275</v>
      </c>
      <c r="D28" s="21"/>
    </row>
    <row r="29" spans="1:4">
      <c r="A29" s="21" t="s">
        <v>276</v>
      </c>
      <c r="B29" s="56" t="s">
        <v>218</v>
      </c>
      <c r="C29" s="21" t="s">
        <v>277</v>
      </c>
      <c r="D29" s="21"/>
    </row>
    <row r="30" spans="1:4">
      <c r="A30" s="21" t="s">
        <v>276</v>
      </c>
      <c r="B30" s="56" t="s">
        <v>218</v>
      </c>
      <c r="C30" s="21" t="s">
        <v>278</v>
      </c>
      <c r="D30" s="21"/>
    </row>
    <row r="31" spans="1:4">
      <c r="A31" t="s">
        <v>279</v>
      </c>
      <c r="B31" s="56" t="s">
        <v>218</v>
      </c>
      <c r="C31" t="s">
        <v>280</v>
      </c>
      <c r="D31" s="21"/>
    </row>
    <row r="32" spans="1:4" ht="14.5" customHeight="1">
      <c r="A32" s="21" t="s">
        <v>281</v>
      </c>
      <c r="B32" s="21" t="s">
        <v>48</v>
      </c>
      <c r="C32" t="s">
        <v>282</v>
      </c>
      <c r="D32" s="21"/>
    </row>
    <row r="33" spans="1:4" ht="14.5" customHeight="1">
      <c r="A33" s="21" t="s">
        <v>283</v>
      </c>
      <c r="B33" t="s">
        <v>218</v>
      </c>
      <c r="C33" s="21" t="s">
        <v>284</v>
      </c>
      <c r="D33" s="21"/>
    </row>
    <row r="34" spans="1:4">
      <c r="A34" s="21" t="s">
        <v>285</v>
      </c>
      <c r="B34" t="s">
        <v>286</v>
      </c>
    </row>
    <row r="37" spans="1:4">
      <c r="A37" t="s">
        <v>287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micro data </vt:lpstr>
      <vt:lpstr>secondary LCI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De-Paepe</dc:creator>
  <cp:lastModifiedBy>Andre</cp:lastModifiedBy>
  <cp:revision>1</cp:revision>
  <dcterms:created xsi:type="dcterms:W3CDTF">2023-02-02T17:22:15Z</dcterms:created>
  <dcterms:modified xsi:type="dcterms:W3CDTF">2024-01-26T12:26:51Z</dcterms:modified>
</cp:coreProperties>
</file>